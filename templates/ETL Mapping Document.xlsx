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 Files\PJ_S300CRE_TO_SI\"/>
    </mc:Choice>
  </mc:AlternateContent>
  <xr:revisionPtr revIDLastSave="0" documentId="13_ncr:1_{AAB389F2-F400-422E-BE74-BFA3736208CC}" xr6:coauthVersionLast="47" xr6:coauthVersionMax="47" xr10:uidLastSave="{00000000-0000-0000-0000-000000000000}"/>
  <bookViews>
    <workbookView xWindow="15495" yWindow="1530" windowWidth="11775" windowHeight="11385" tabRatio="847" activeTab="2" xr2:uid="{A60B2358-74A8-4369-94BF-7F4BA7B3B5A7}"/>
  </bookViews>
  <sheets>
    <sheet name="Controls" sheetId="2" r:id="rId1"/>
    <sheet name="Entity" sheetId="15" r:id="rId2"/>
    <sheet name="Job ID" sheetId="9" r:id="rId3"/>
    <sheet name="GL Account" sheetId="1" r:id="rId4"/>
    <sheet name="Location ID" sheetId="4" r:id="rId5"/>
    <sheet name="Department ID" sheetId="5" r:id="rId6"/>
    <sheet name="Class ID" sheetId="7" r:id="rId7"/>
    <sheet name="Vendor ID" sheetId="6" r:id="rId8"/>
    <sheet name="Customer ID" sheetId="8" r:id="rId9"/>
    <sheet name="Cost Code ID" sheetId="10" r:id="rId10"/>
    <sheet name="Cost Type ID" sheetId="11" r:id="rId11"/>
    <sheet name="Employee ID" sheetId="12" r:id="rId12"/>
    <sheet name="Inventory Item ID" sheetId="13" r:id="rId13"/>
    <sheet name="Warehouse ID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5" l="1"/>
  <c r="K6" i="15"/>
  <c r="L4" i="15"/>
  <c r="A1" i="15"/>
  <c r="C1" i="15"/>
  <c r="L6" i="15"/>
  <c r="L5" i="15"/>
  <c r="K5" i="15"/>
  <c r="C6" i="2"/>
  <c r="C7" i="2"/>
  <c r="C8" i="2"/>
  <c r="C9" i="2"/>
  <c r="C10" i="2"/>
  <c r="F5" i="14"/>
  <c r="F6" i="14"/>
  <c r="F4" i="14"/>
  <c r="H6" i="14"/>
  <c r="G6" i="14"/>
  <c r="H5" i="14"/>
  <c r="G5" i="14"/>
  <c r="H4" i="14"/>
  <c r="G4" i="14"/>
  <c r="D1" i="14"/>
  <c r="A1" i="14"/>
  <c r="E5" i="13"/>
  <c r="E6" i="13"/>
  <c r="E4" i="13"/>
  <c r="G6" i="13"/>
  <c r="F6" i="13"/>
  <c r="G5" i="13"/>
  <c r="F5" i="13"/>
  <c r="G4" i="13"/>
  <c r="F4" i="13"/>
  <c r="D1" i="13"/>
  <c r="A1" i="13"/>
  <c r="E5" i="12"/>
  <c r="E6" i="12"/>
  <c r="E4" i="12"/>
  <c r="G6" i="12"/>
  <c r="F6" i="12"/>
  <c r="G5" i="12"/>
  <c r="F5" i="12"/>
  <c r="G4" i="12"/>
  <c r="F4" i="12"/>
  <c r="D1" i="12"/>
  <c r="A1" i="12"/>
  <c r="G8" i="11"/>
  <c r="H8" i="11"/>
  <c r="I8" i="11"/>
  <c r="G9" i="11"/>
  <c r="H9" i="11"/>
  <c r="I9" i="11"/>
  <c r="G10" i="11"/>
  <c r="H10" i="11"/>
  <c r="I10" i="11"/>
  <c r="G11" i="11"/>
  <c r="H11" i="11"/>
  <c r="I11" i="11"/>
  <c r="G12" i="11"/>
  <c r="H12" i="11"/>
  <c r="I12" i="11"/>
  <c r="G13" i="11"/>
  <c r="H13" i="11"/>
  <c r="I13" i="11"/>
  <c r="G14" i="11"/>
  <c r="H14" i="11"/>
  <c r="I14" i="11"/>
  <c r="G15" i="11"/>
  <c r="H15" i="11"/>
  <c r="I15" i="11"/>
  <c r="G16" i="11"/>
  <c r="H16" i="11"/>
  <c r="I16" i="11"/>
  <c r="G17" i="11"/>
  <c r="H17" i="11"/>
  <c r="I17" i="11"/>
  <c r="G18" i="11"/>
  <c r="H18" i="11"/>
  <c r="I18" i="11"/>
  <c r="G19" i="11"/>
  <c r="H19" i="11"/>
  <c r="I19" i="11"/>
  <c r="G20" i="11"/>
  <c r="H20" i="11"/>
  <c r="I20" i="11"/>
  <c r="G21" i="11"/>
  <c r="H21" i="11"/>
  <c r="I21" i="11"/>
  <c r="G22" i="11"/>
  <c r="H22" i="11"/>
  <c r="I22" i="11"/>
  <c r="G23" i="11"/>
  <c r="H23" i="11"/>
  <c r="I23" i="11"/>
  <c r="G24" i="11"/>
  <c r="H24" i="11"/>
  <c r="I24" i="11"/>
  <c r="G25" i="11"/>
  <c r="H25" i="11"/>
  <c r="I25" i="11"/>
  <c r="G26" i="11"/>
  <c r="H26" i="11"/>
  <c r="I26" i="11"/>
  <c r="G5" i="11"/>
  <c r="G6" i="11"/>
  <c r="G7" i="11"/>
  <c r="G4" i="11"/>
  <c r="I7" i="11"/>
  <c r="H7" i="11"/>
  <c r="I6" i="11"/>
  <c r="H6" i="11"/>
  <c r="I5" i="11"/>
  <c r="H5" i="11"/>
  <c r="I4" i="11"/>
  <c r="H4" i="11"/>
  <c r="D1" i="11"/>
  <c r="A1" i="11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4" i="10"/>
  <c r="H359" i="10"/>
  <c r="G359" i="10"/>
  <c r="H358" i="10"/>
  <c r="G358" i="10"/>
  <c r="H357" i="10"/>
  <c r="G357" i="10"/>
  <c r="H356" i="10"/>
  <c r="G356" i="10"/>
  <c r="H355" i="10"/>
  <c r="G355" i="10"/>
  <c r="H354" i="10"/>
  <c r="G354" i="10"/>
  <c r="H353" i="10"/>
  <c r="G353" i="10"/>
  <c r="H352" i="10"/>
  <c r="G352" i="10"/>
  <c r="H351" i="10"/>
  <c r="G351" i="10"/>
  <c r="H350" i="10"/>
  <c r="G350" i="10"/>
  <c r="H349" i="10"/>
  <c r="G349" i="10"/>
  <c r="H348" i="10"/>
  <c r="G348" i="10"/>
  <c r="H347" i="10"/>
  <c r="G347" i="10"/>
  <c r="H346" i="10"/>
  <c r="G346" i="10"/>
  <c r="H345" i="10"/>
  <c r="G345" i="10"/>
  <c r="H344" i="10"/>
  <c r="G344" i="10"/>
  <c r="H343" i="10"/>
  <c r="G343" i="10"/>
  <c r="H342" i="10"/>
  <c r="G342" i="10"/>
  <c r="H341" i="10"/>
  <c r="G341" i="10"/>
  <c r="H340" i="10"/>
  <c r="G340" i="10"/>
  <c r="H339" i="10"/>
  <c r="G339" i="10"/>
  <c r="H338" i="10"/>
  <c r="G338" i="10"/>
  <c r="H337" i="10"/>
  <c r="G337" i="10"/>
  <c r="H336" i="10"/>
  <c r="G336" i="10"/>
  <c r="H335" i="10"/>
  <c r="G335" i="10"/>
  <c r="H334" i="10"/>
  <c r="G334" i="10"/>
  <c r="H333" i="10"/>
  <c r="G333" i="10"/>
  <c r="H332" i="10"/>
  <c r="G332" i="10"/>
  <c r="H331" i="10"/>
  <c r="G331" i="10"/>
  <c r="H330" i="10"/>
  <c r="G330" i="10"/>
  <c r="H329" i="10"/>
  <c r="G329" i="10"/>
  <c r="H328" i="10"/>
  <c r="G328" i="10"/>
  <c r="H327" i="10"/>
  <c r="G327" i="10"/>
  <c r="H326" i="10"/>
  <c r="G326" i="10"/>
  <c r="H325" i="10"/>
  <c r="G325" i="10"/>
  <c r="H324" i="10"/>
  <c r="G324" i="10"/>
  <c r="H323" i="10"/>
  <c r="G323" i="10"/>
  <c r="H322" i="10"/>
  <c r="G322" i="10"/>
  <c r="H321" i="10"/>
  <c r="G321" i="10"/>
  <c r="H320" i="10"/>
  <c r="G320" i="10"/>
  <c r="H319" i="10"/>
  <c r="G319" i="10"/>
  <c r="H318" i="10"/>
  <c r="G318" i="10"/>
  <c r="H317" i="10"/>
  <c r="G317" i="10"/>
  <c r="H316" i="10"/>
  <c r="G316" i="10"/>
  <c r="H315" i="10"/>
  <c r="G315" i="10"/>
  <c r="H314" i="10"/>
  <c r="G314" i="10"/>
  <c r="H313" i="10"/>
  <c r="G313" i="10"/>
  <c r="H312" i="10"/>
  <c r="G312" i="10"/>
  <c r="H311" i="10"/>
  <c r="G311" i="10"/>
  <c r="H310" i="10"/>
  <c r="G310" i="10"/>
  <c r="H309" i="10"/>
  <c r="G309" i="10"/>
  <c r="H308" i="10"/>
  <c r="G308" i="10"/>
  <c r="H307" i="10"/>
  <c r="G307" i="10"/>
  <c r="H306" i="10"/>
  <c r="G306" i="10"/>
  <c r="H305" i="10"/>
  <c r="G305" i="10"/>
  <c r="H304" i="10"/>
  <c r="G304" i="10"/>
  <c r="H303" i="10"/>
  <c r="G303" i="10"/>
  <c r="H302" i="10"/>
  <c r="G302" i="10"/>
  <c r="H301" i="10"/>
  <c r="G301" i="10"/>
  <c r="H300" i="10"/>
  <c r="G300" i="10"/>
  <c r="H299" i="10"/>
  <c r="G299" i="10"/>
  <c r="H298" i="10"/>
  <c r="G298" i="10"/>
  <c r="H297" i="10"/>
  <c r="G297" i="10"/>
  <c r="H296" i="10"/>
  <c r="G296" i="10"/>
  <c r="H295" i="10"/>
  <c r="G295" i="10"/>
  <c r="H294" i="10"/>
  <c r="G294" i="10"/>
  <c r="H293" i="10"/>
  <c r="G293" i="10"/>
  <c r="H292" i="10"/>
  <c r="G292" i="10"/>
  <c r="H291" i="10"/>
  <c r="G291" i="10"/>
  <c r="H290" i="10"/>
  <c r="G290" i="10"/>
  <c r="H289" i="10"/>
  <c r="G289" i="10"/>
  <c r="H288" i="10"/>
  <c r="G288" i="10"/>
  <c r="H287" i="10"/>
  <c r="G287" i="10"/>
  <c r="H286" i="10"/>
  <c r="G286" i="10"/>
  <c r="H285" i="10"/>
  <c r="G285" i="10"/>
  <c r="H284" i="10"/>
  <c r="G284" i="10"/>
  <c r="H283" i="10"/>
  <c r="G283" i="10"/>
  <c r="H282" i="10"/>
  <c r="G282" i="10"/>
  <c r="H281" i="10"/>
  <c r="G281" i="10"/>
  <c r="H280" i="10"/>
  <c r="G280" i="10"/>
  <c r="H279" i="10"/>
  <c r="G279" i="10"/>
  <c r="H278" i="10"/>
  <c r="G278" i="10"/>
  <c r="H277" i="10"/>
  <c r="G277" i="10"/>
  <c r="H276" i="10"/>
  <c r="G276" i="10"/>
  <c r="H275" i="10"/>
  <c r="G275" i="10"/>
  <c r="H274" i="10"/>
  <c r="G274" i="10"/>
  <c r="H273" i="10"/>
  <c r="G273" i="10"/>
  <c r="H272" i="10"/>
  <c r="G272" i="10"/>
  <c r="H271" i="10"/>
  <c r="G271" i="10"/>
  <c r="H270" i="10"/>
  <c r="G270" i="10"/>
  <c r="H269" i="10"/>
  <c r="G269" i="10"/>
  <c r="H268" i="10"/>
  <c r="G268" i="10"/>
  <c r="H267" i="10"/>
  <c r="G267" i="10"/>
  <c r="H266" i="10"/>
  <c r="G266" i="10"/>
  <c r="H265" i="10"/>
  <c r="G265" i="10"/>
  <c r="H264" i="10"/>
  <c r="G264" i="10"/>
  <c r="H263" i="10"/>
  <c r="G263" i="10"/>
  <c r="H262" i="10"/>
  <c r="G262" i="10"/>
  <c r="H261" i="10"/>
  <c r="G261" i="10"/>
  <c r="H260" i="10"/>
  <c r="G260" i="10"/>
  <c r="H259" i="10"/>
  <c r="G259" i="10"/>
  <c r="H258" i="10"/>
  <c r="G258" i="10"/>
  <c r="H257" i="10"/>
  <c r="G257" i="10"/>
  <c r="H256" i="10"/>
  <c r="G256" i="10"/>
  <c r="H255" i="10"/>
  <c r="G255" i="10"/>
  <c r="H254" i="10"/>
  <c r="G254" i="10"/>
  <c r="H253" i="10"/>
  <c r="G253" i="10"/>
  <c r="H252" i="10"/>
  <c r="G252" i="10"/>
  <c r="H251" i="10"/>
  <c r="G251" i="10"/>
  <c r="H250" i="10"/>
  <c r="G250" i="10"/>
  <c r="H249" i="10"/>
  <c r="G249" i="10"/>
  <c r="H248" i="10"/>
  <c r="G248" i="10"/>
  <c r="H247" i="10"/>
  <c r="G247" i="10"/>
  <c r="H246" i="10"/>
  <c r="G246" i="10"/>
  <c r="H245" i="10"/>
  <c r="G245" i="10"/>
  <c r="H244" i="10"/>
  <c r="G244" i="10"/>
  <c r="H243" i="10"/>
  <c r="G243" i="10"/>
  <c r="H242" i="10"/>
  <c r="G242" i="10"/>
  <c r="H241" i="10"/>
  <c r="G241" i="10"/>
  <c r="H240" i="10"/>
  <c r="G240" i="10"/>
  <c r="H239" i="10"/>
  <c r="G239" i="10"/>
  <c r="H238" i="10"/>
  <c r="G238" i="10"/>
  <c r="H237" i="10"/>
  <c r="G237" i="10"/>
  <c r="H236" i="10"/>
  <c r="G236" i="10"/>
  <c r="H235" i="10"/>
  <c r="G235" i="10"/>
  <c r="H234" i="10"/>
  <c r="G234" i="10"/>
  <c r="H233" i="10"/>
  <c r="G233" i="10"/>
  <c r="H232" i="10"/>
  <c r="G232" i="10"/>
  <c r="H231" i="10"/>
  <c r="G231" i="10"/>
  <c r="H230" i="10"/>
  <c r="G230" i="10"/>
  <c r="H229" i="10"/>
  <c r="G229" i="10"/>
  <c r="H228" i="10"/>
  <c r="G228" i="10"/>
  <c r="H227" i="10"/>
  <c r="G227" i="10"/>
  <c r="H226" i="10"/>
  <c r="G226" i="10"/>
  <c r="H225" i="10"/>
  <c r="G225" i="10"/>
  <c r="H224" i="10"/>
  <c r="G224" i="10"/>
  <c r="H223" i="10"/>
  <c r="G223" i="10"/>
  <c r="H222" i="10"/>
  <c r="G222" i="10"/>
  <c r="H221" i="10"/>
  <c r="G221" i="10"/>
  <c r="H220" i="10"/>
  <c r="G220" i="10"/>
  <c r="H219" i="10"/>
  <c r="G219" i="10"/>
  <c r="H218" i="10"/>
  <c r="G218" i="10"/>
  <c r="H217" i="10"/>
  <c r="G217" i="10"/>
  <c r="H216" i="10"/>
  <c r="G216" i="10"/>
  <c r="H215" i="10"/>
  <c r="G215" i="10"/>
  <c r="H214" i="10"/>
  <c r="G214" i="10"/>
  <c r="H213" i="10"/>
  <c r="G213" i="10"/>
  <c r="H212" i="10"/>
  <c r="G212" i="10"/>
  <c r="H211" i="10"/>
  <c r="G211" i="10"/>
  <c r="H210" i="10"/>
  <c r="G210" i="10"/>
  <c r="H209" i="10"/>
  <c r="G209" i="10"/>
  <c r="H208" i="10"/>
  <c r="G208" i="10"/>
  <c r="H207" i="10"/>
  <c r="G207" i="10"/>
  <c r="H206" i="10"/>
  <c r="G206" i="10"/>
  <c r="H205" i="10"/>
  <c r="G205" i="10"/>
  <c r="H204" i="10"/>
  <c r="G204" i="10"/>
  <c r="H203" i="10"/>
  <c r="G203" i="10"/>
  <c r="H202" i="10"/>
  <c r="G202" i="10"/>
  <c r="H201" i="10"/>
  <c r="G201" i="10"/>
  <c r="H200" i="10"/>
  <c r="G200" i="10"/>
  <c r="H199" i="10"/>
  <c r="G199" i="10"/>
  <c r="H198" i="10"/>
  <c r="G198" i="10"/>
  <c r="H197" i="10"/>
  <c r="G197" i="10"/>
  <c r="H196" i="10"/>
  <c r="G196" i="10"/>
  <c r="H195" i="10"/>
  <c r="G195" i="10"/>
  <c r="H194" i="10"/>
  <c r="G194" i="10"/>
  <c r="H193" i="10"/>
  <c r="G193" i="10"/>
  <c r="H192" i="10"/>
  <c r="G192" i="10"/>
  <c r="H191" i="10"/>
  <c r="G191" i="10"/>
  <c r="H190" i="10"/>
  <c r="G190" i="10"/>
  <c r="H189" i="10"/>
  <c r="G189" i="10"/>
  <c r="H188" i="10"/>
  <c r="G188" i="10"/>
  <c r="H187" i="10"/>
  <c r="G187" i="10"/>
  <c r="H186" i="10"/>
  <c r="G186" i="10"/>
  <c r="H185" i="10"/>
  <c r="G185" i="10"/>
  <c r="H184" i="10"/>
  <c r="G184" i="10"/>
  <c r="H183" i="10"/>
  <c r="G183" i="10"/>
  <c r="H182" i="10"/>
  <c r="G182" i="10"/>
  <c r="H181" i="10"/>
  <c r="G181" i="10"/>
  <c r="H180" i="10"/>
  <c r="G180" i="10"/>
  <c r="H179" i="10"/>
  <c r="G179" i="10"/>
  <c r="H178" i="10"/>
  <c r="G178" i="10"/>
  <c r="H177" i="10"/>
  <c r="G177" i="10"/>
  <c r="H176" i="10"/>
  <c r="G176" i="10"/>
  <c r="H175" i="10"/>
  <c r="G175" i="10"/>
  <c r="H174" i="10"/>
  <c r="G174" i="10"/>
  <c r="H173" i="10"/>
  <c r="G173" i="10"/>
  <c r="H172" i="10"/>
  <c r="G172" i="10"/>
  <c r="H171" i="10"/>
  <c r="G171" i="10"/>
  <c r="H170" i="10"/>
  <c r="G170" i="10"/>
  <c r="H169" i="10"/>
  <c r="G169" i="10"/>
  <c r="H168" i="10"/>
  <c r="G168" i="10"/>
  <c r="H167" i="10"/>
  <c r="G167" i="10"/>
  <c r="H166" i="10"/>
  <c r="G166" i="10"/>
  <c r="H165" i="10"/>
  <c r="G165" i="10"/>
  <c r="H164" i="10"/>
  <c r="G164" i="10"/>
  <c r="H163" i="10"/>
  <c r="G163" i="10"/>
  <c r="H162" i="10"/>
  <c r="G162" i="10"/>
  <c r="H161" i="10"/>
  <c r="G161" i="10"/>
  <c r="H160" i="10"/>
  <c r="G160" i="10"/>
  <c r="H159" i="10"/>
  <c r="G159" i="10"/>
  <c r="H158" i="10"/>
  <c r="G158" i="10"/>
  <c r="H157" i="10"/>
  <c r="G157" i="10"/>
  <c r="H156" i="10"/>
  <c r="G156" i="10"/>
  <c r="H155" i="10"/>
  <c r="G155" i="10"/>
  <c r="H154" i="10"/>
  <c r="G154" i="10"/>
  <c r="H153" i="10"/>
  <c r="G153" i="10"/>
  <c r="H152" i="10"/>
  <c r="G152" i="10"/>
  <c r="H151" i="10"/>
  <c r="G151" i="10"/>
  <c r="H150" i="10"/>
  <c r="G150" i="10"/>
  <c r="H149" i="10"/>
  <c r="G149" i="10"/>
  <c r="H148" i="10"/>
  <c r="G148" i="10"/>
  <c r="H147" i="10"/>
  <c r="G147" i="10"/>
  <c r="H146" i="10"/>
  <c r="G146" i="10"/>
  <c r="H145" i="10"/>
  <c r="G145" i="10"/>
  <c r="H144" i="10"/>
  <c r="G144" i="10"/>
  <c r="H143" i="10"/>
  <c r="G143" i="10"/>
  <c r="H142" i="10"/>
  <c r="G142" i="10"/>
  <c r="H141" i="10"/>
  <c r="G141" i="10"/>
  <c r="H140" i="10"/>
  <c r="G140" i="10"/>
  <c r="H139" i="10"/>
  <c r="G139" i="10"/>
  <c r="H138" i="10"/>
  <c r="G138" i="10"/>
  <c r="H137" i="10"/>
  <c r="G137" i="10"/>
  <c r="H136" i="10"/>
  <c r="G136" i="10"/>
  <c r="H135" i="10"/>
  <c r="G135" i="10"/>
  <c r="H134" i="10"/>
  <c r="G134" i="10"/>
  <c r="H133" i="10"/>
  <c r="G133" i="10"/>
  <c r="H132" i="10"/>
  <c r="G132" i="10"/>
  <c r="H131" i="10"/>
  <c r="G131" i="10"/>
  <c r="H130" i="10"/>
  <c r="G130" i="10"/>
  <c r="H129" i="10"/>
  <c r="G129" i="10"/>
  <c r="H128" i="10"/>
  <c r="G128" i="10"/>
  <c r="H127" i="10"/>
  <c r="G127" i="10"/>
  <c r="H126" i="10"/>
  <c r="G126" i="10"/>
  <c r="H125" i="10"/>
  <c r="G125" i="10"/>
  <c r="H124" i="10"/>
  <c r="G124" i="10"/>
  <c r="H123" i="10"/>
  <c r="G123" i="10"/>
  <c r="H122" i="10"/>
  <c r="G122" i="10"/>
  <c r="H121" i="10"/>
  <c r="G121" i="10"/>
  <c r="H120" i="10"/>
  <c r="G120" i="10"/>
  <c r="H119" i="10"/>
  <c r="G119" i="10"/>
  <c r="H118" i="10"/>
  <c r="G118" i="10"/>
  <c r="H117" i="10"/>
  <c r="G117" i="10"/>
  <c r="H116" i="10"/>
  <c r="G116" i="10"/>
  <c r="H115" i="10"/>
  <c r="G115" i="10"/>
  <c r="H114" i="10"/>
  <c r="G114" i="10"/>
  <c r="H113" i="10"/>
  <c r="G113" i="10"/>
  <c r="H112" i="10"/>
  <c r="G112" i="10"/>
  <c r="H111" i="10"/>
  <c r="G111" i="10"/>
  <c r="H110" i="10"/>
  <c r="G110" i="10"/>
  <c r="H109" i="10"/>
  <c r="G109" i="10"/>
  <c r="H108" i="10"/>
  <c r="G108" i="10"/>
  <c r="H107" i="10"/>
  <c r="G107" i="10"/>
  <c r="H106" i="10"/>
  <c r="G106" i="10"/>
  <c r="H105" i="10"/>
  <c r="G105" i="10"/>
  <c r="H104" i="10"/>
  <c r="G104" i="10"/>
  <c r="H103" i="10"/>
  <c r="G103" i="10"/>
  <c r="H102" i="10"/>
  <c r="G102" i="10"/>
  <c r="H101" i="10"/>
  <c r="G101" i="10"/>
  <c r="H100" i="10"/>
  <c r="G100" i="10"/>
  <c r="H99" i="10"/>
  <c r="G99" i="10"/>
  <c r="H98" i="10"/>
  <c r="G98" i="10"/>
  <c r="H97" i="10"/>
  <c r="G97" i="10"/>
  <c r="H96" i="10"/>
  <c r="G96" i="10"/>
  <c r="H95" i="10"/>
  <c r="G95" i="10"/>
  <c r="H94" i="10"/>
  <c r="G94" i="10"/>
  <c r="H93" i="10"/>
  <c r="G93" i="10"/>
  <c r="H92" i="10"/>
  <c r="G92" i="10"/>
  <c r="H91" i="10"/>
  <c r="G91" i="10"/>
  <c r="H90" i="10"/>
  <c r="G90" i="10"/>
  <c r="H89" i="10"/>
  <c r="G89" i="10"/>
  <c r="H88" i="10"/>
  <c r="G88" i="10"/>
  <c r="H87" i="10"/>
  <c r="G87" i="10"/>
  <c r="H86" i="10"/>
  <c r="G86" i="10"/>
  <c r="H85" i="10"/>
  <c r="G85" i="10"/>
  <c r="H84" i="10"/>
  <c r="G84" i="10"/>
  <c r="H83" i="10"/>
  <c r="G83" i="10"/>
  <c r="H82" i="10"/>
  <c r="G82" i="10"/>
  <c r="H81" i="10"/>
  <c r="G81" i="10"/>
  <c r="H80" i="10"/>
  <c r="G80" i="10"/>
  <c r="H79" i="10"/>
  <c r="G79" i="10"/>
  <c r="H78" i="10"/>
  <c r="G78" i="10"/>
  <c r="H77" i="10"/>
  <c r="G77" i="10"/>
  <c r="H76" i="10"/>
  <c r="G76" i="10"/>
  <c r="H75" i="10"/>
  <c r="G75" i="10"/>
  <c r="H74" i="10"/>
  <c r="G74" i="10"/>
  <c r="H73" i="10"/>
  <c r="G73" i="10"/>
  <c r="H72" i="10"/>
  <c r="G72" i="10"/>
  <c r="H71" i="10"/>
  <c r="G71" i="10"/>
  <c r="H70" i="10"/>
  <c r="G70" i="10"/>
  <c r="H69" i="10"/>
  <c r="G69" i="10"/>
  <c r="H68" i="10"/>
  <c r="G68" i="10"/>
  <c r="H67" i="10"/>
  <c r="G67" i="10"/>
  <c r="H66" i="10"/>
  <c r="G66" i="10"/>
  <c r="H65" i="10"/>
  <c r="G65" i="10"/>
  <c r="H64" i="10"/>
  <c r="G64" i="10"/>
  <c r="H63" i="10"/>
  <c r="G63" i="10"/>
  <c r="H62" i="10"/>
  <c r="G62" i="10"/>
  <c r="H61" i="10"/>
  <c r="G61" i="10"/>
  <c r="H60" i="10"/>
  <c r="G60" i="10"/>
  <c r="H59" i="10"/>
  <c r="G59" i="10"/>
  <c r="H58" i="10"/>
  <c r="G58" i="10"/>
  <c r="H57" i="10"/>
  <c r="G57" i="10"/>
  <c r="H56" i="10"/>
  <c r="G56" i="10"/>
  <c r="H55" i="10"/>
  <c r="G55" i="10"/>
  <c r="H54" i="10"/>
  <c r="G54" i="10"/>
  <c r="H53" i="10"/>
  <c r="G53" i="10"/>
  <c r="H52" i="10"/>
  <c r="G52" i="10"/>
  <c r="H51" i="10"/>
  <c r="G51" i="10"/>
  <c r="H50" i="10"/>
  <c r="G50" i="10"/>
  <c r="H49" i="10"/>
  <c r="G49" i="10"/>
  <c r="H48" i="10"/>
  <c r="G48" i="10"/>
  <c r="H47" i="10"/>
  <c r="G47" i="10"/>
  <c r="H46" i="10"/>
  <c r="G46" i="10"/>
  <c r="H45" i="10"/>
  <c r="G45" i="10"/>
  <c r="H44" i="10"/>
  <c r="G44" i="10"/>
  <c r="H43" i="10"/>
  <c r="G43" i="10"/>
  <c r="H42" i="10"/>
  <c r="G42" i="10"/>
  <c r="H41" i="10"/>
  <c r="G41" i="10"/>
  <c r="H40" i="10"/>
  <c r="G40" i="10"/>
  <c r="H39" i="10"/>
  <c r="G39" i="10"/>
  <c r="H38" i="10"/>
  <c r="G38" i="10"/>
  <c r="H37" i="10"/>
  <c r="G37" i="10"/>
  <c r="H36" i="10"/>
  <c r="G36" i="10"/>
  <c r="H35" i="10"/>
  <c r="G35" i="10"/>
  <c r="H34" i="10"/>
  <c r="G34" i="10"/>
  <c r="H33" i="10"/>
  <c r="G33" i="10"/>
  <c r="H32" i="10"/>
  <c r="G32" i="10"/>
  <c r="H31" i="10"/>
  <c r="G31" i="10"/>
  <c r="H30" i="10"/>
  <c r="G30" i="10"/>
  <c r="H29" i="10"/>
  <c r="G29" i="10"/>
  <c r="H28" i="10"/>
  <c r="G28" i="10"/>
  <c r="H27" i="10"/>
  <c r="G27" i="10"/>
  <c r="H26" i="10"/>
  <c r="G26" i="10"/>
  <c r="H25" i="10"/>
  <c r="G25" i="10"/>
  <c r="H24" i="10"/>
  <c r="G24" i="10"/>
  <c r="H23" i="10"/>
  <c r="G23" i="10"/>
  <c r="H22" i="10"/>
  <c r="G22" i="10"/>
  <c r="H21" i="10"/>
  <c r="G21" i="10"/>
  <c r="H20" i="10"/>
  <c r="G20" i="10"/>
  <c r="H19" i="10"/>
  <c r="G19" i="10"/>
  <c r="H18" i="10"/>
  <c r="G18" i="10"/>
  <c r="H17" i="10"/>
  <c r="G17" i="10"/>
  <c r="H16" i="10"/>
  <c r="G16" i="10"/>
  <c r="H15" i="10"/>
  <c r="G15" i="10"/>
  <c r="H14" i="10"/>
  <c r="G14" i="10"/>
  <c r="H13" i="10"/>
  <c r="G13" i="10"/>
  <c r="H12" i="10"/>
  <c r="G12" i="10"/>
  <c r="H11" i="10"/>
  <c r="G11" i="10"/>
  <c r="H10" i="10"/>
  <c r="G10" i="10"/>
  <c r="H9" i="10"/>
  <c r="G9" i="10"/>
  <c r="H8" i="10"/>
  <c r="G8" i="10"/>
  <c r="H7" i="10"/>
  <c r="G7" i="10"/>
  <c r="H6" i="10"/>
  <c r="G6" i="10"/>
  <c r="H5" i="10"/>
  <c r="G5" i="10"/>
  <c r="H4" i="10"/>
  <c r="G4" i="10"/>
  <c r="D1" i="10"/>
  <c r="A1" i="10"/>
  <c r="L5" i="9"/>
  <c r="L6" i="9"/>
  <c r="L7" i="9"/>
  <c r="L4" i="9"/>
  <c r="M5" i="9"/>
  <c r="N5" i="9"/>
  <c r="M6" i="9"/>
  <c r="N6" i="9"/>
  <c r="M7" i="9"/>
  <c r="N7" i="9"/>
  <c r="N4" i="9"/>
  <c r="M4" i="9"/>
  <c r="E1" i="9"/>
  <c r="A1" i="9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4" i="8"/>
  <c r="G126" i="8"/>
  <c r="G125" i="8"/>
  <c r="G124" i="8"/>
  <c r="G123" i="8"/>
  <c r="G122" i="8"/>
  <c r="G121" i="8"/>
  <c r="G120" i="8"/>
  <c r="G119" i="8"/>
  <c r="G118" i="8"/>
  <c r="G117" i="8"/>
  <c r="G116" i="8"/>
  <c r="G115" i="8"/>
  <c r="G114" i="8"/>
  <c r="G113" i="8"/>
  <c r="G112" i="8"/>
  <c r="G111" i="8"/>
  <c r="G110" i="8"/>
  <c r="G109" i="8"/>
  <c r="G108" i="8"/>
  <c r="G107" i="8"/>
  <c r="G106" i="8"/>
  <c r="G105" i="8"/>
  <c r="G104" i="8"/>
  <c r="G103" i="8"/>
  <c r="G102" i="8"/>
  <c r="G101" i="8"/>
  <c r="G100" i="8"/>
  <c r="G99" i="8"/>
  <c r="G98" i="8"/>
  <c r="G97" i="8"/>
  <c r="G96" i="8"/>
  <c r="G95" i="8"/>
  <c r="G94" i="8"/>
  <c r="G93" i="8"/>
  <c r="G92" i="8"/>
  <c r="G91" i="8"/>
  <c r="G90" i="8"/>
  <c r="G89" i="8"/>
  <c r="G88" i="8"/>
  <c r="G87" i="8"/>
  <c r="G86" i="8"/>
  <c r="G85" i="8"/>
  <c r="G84" i="8"/>
  <c r="G83" i="8"/>
  <c r="G82" i="8"/>
  <c r="G81" i="8"/>
  <c r="G80" i="8"/>
  <c r="G79" i="8"/>
  <c r="G78" i="8"/>
  <c r="G77" i="8"/>
  <c r="G76" i="8"/>
  <c r="G75" i="8"/>
  <c r="G74" i="8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F4" i="8"/>
  <c r="D1" i="8"/>
  <c r="A1" i="8"/>
  <c r="E5" i="7"/>
  <c r="E4" i="7"/>
  <c r="G5" i="7"/>
  <c r="F5" i="7"/>
  <c r="G4" i="7"/>
  <c r="F4" i="7"/>
  <c r="D1" i="7"/>
  <c r="A1" i="7"/>
  <c r="E14" i="6"/>
  <c r="F14" i="6"/>
  <c r="G14" i="6"/>
  <c r="E15" i="6"/>
  <c r="F15" i="6"/>
  <c r="G15" i="6"/>
  <c r="E16" i="6"/>
  <c r="F16" i="6"/>
  <c r="G16" i="6"/>
  <c r="E17" i="6"/>
  <c r="F17" i="6"/>
  <c r="G17" i="6"/>
  <c r="E18" i="6"/>
  <c r="F18" i="6"/>
  <c r="G18" i="6"/>
  <c r="E19" i="6"/>
  <c r="F19" i="6"/>
  <c r="G19" i="6"/>
  <c r="E20" i="6"/>
  <c r="F20" i="6"/>
  <c r="G20" i="6"/>
  <c r="E21" i="6"/>
  <c r="F21" i="6"/>
  <c r="G21" i="6"/>
  <c r="E22" i="6"/>
  <c r="F22" i="6"/>
  <c r="G22" i="6"/>
  <c r="E23" i="6"/>
  <c r="F23" i="6"/>
  <c r="G23" i="6"/>
  <c r="E24" i="6"/>
  <c r="F24" i="6"/>
  <c r="G24" i="6"/>
  <c r="E25" i="6"/>
  <c r="F25" i="6"/>
  <c r="G25" i="6"/>
  <c r="E26" i="6"/>
  <c r="F26" i="6"/>
  <c r="G26" i="6"/>
  <c r="E27" i="6"/>
  <c r="F27" i="6"/>
  <c r="G27" i="6"/>
  <c r="E28" i="6"/>
  <c r="F28" i="6"/>
  <c r="G28" i="6"/>
  <c r="E29" i="6"/>
  <c r="F29" i="6"/>
  <c r="G29" i="6"/>
  <c r="E30" i="6"/>
  <c r="F30" i="6"/>
  <c r="G30" i="6"/>
  <c r="E31" i="6"/>
  <c r="F31" i="6"/>
  <c r="G31" i="6"/>
  <c r="E32" i="6"/>
  <c r="F32" i="6"/>
  <c r="G32" i="6"/>
  <c r="E33" i="6"/>
  <c r="F33" i="6"/>
  <c r="G33" i="6"/>
  <c r="E34" i="6"/>
  <c r="F34" i="6"/>
  <c r="G34" i="6"/>
  <c r="E35" i="6"/>
  <c r="F35" i="6"/>
  <c r="G35" i="6"/>
  <c r="E36" i="6"/>
  <c r="F36" i="6"/>
  <c r="G36" i="6"/>
  <c r="E37" i="6"/>
  <c r="F37" i="6"/>
  <c r="G37" i="6"/>
  <c r="E38" i="6"/>
  <c r="F38" i="6"/>
  <c r="G38" i="6"/>
  <c r="E39" i="6"/>
  <c r="F39" i="6"/>
  <c r="G39" i="6"/>
  <c r="E40" i="6"/>
  <c r="F40" i="6"/>
  <c r="G40" i="6"/>
  <c r="E41" i="6"/>
  <c r="F41" i="6"/>
  <c r="G41" i="6"/>
  <c r="E42" i="6"/>
  <c r="F42" i="6"/>
  <c r="G42" i="6"/>
  <c r="E43" i="6"/>
  <c r="F43" i="6"/>
  <c r="G43" i="6"/>
  <c r="E44" i="6"/>
  <c r="F44" i="6"/>
  <c r="G44" i="6"/>
  <c r="E45" i="6"/>
  <c r="F45" i="6"/>
  <c r="G45" i="6"/>
  <c r="E46" i="6"/>
  <c r="F46" i="6"/>
  <c r="G46" i="6"/>
  <c r="E47" i="6"/>
  <c r="F47" i="6"/>
  <c r="G47" i="6"/>
  <c r="E48" i="6"/>
  <c r="F48" i="6"/>
  <c r="G48" i="6"/>
  <c r="E49" i="6"/>
  <c r="F49" i="6"/>
  <c r="G49" i="6"/>
  <c r="E50" i="6"/>
  <c r="F50" i="6"/>
  <c r="G50" i="6"/>
  <c r="E51" i="6"/>
  <c r="F51" i="6"/>
  <c r="G51" i="6"/>
  <c r="E52" i="6"/>
  <c r="F52" i="6"/>
  <c r="G52" i="6"/>
  <c r="E53" i="6"/>
  <c r="F53" i="6"/>
  <c r="G53" i="6"/>
  <c r="E54" i="6"/>
  <c r="F54" i="6"/>
  <c r="G54" i="6"/>
  <c r="E55" i="6"/>
  <c r="F55" i="6"/>
  <c r="G55" i="6"/>
  <c r="E56" i="6"/>
  <c r="F56" i="6"/>
  <c r="G56" i="6"/>
  <c r="E57" i="6"/>
  <c r="F57" i="6"/>
  <c r="G57" i="6"/>
  <c r="E58" i="6"/>
  <c r="F58" i="6"/>
  <c r="G58" i="6"/>
  <c r="E59" i="6"/>
  <c r="F59" i="6"/>
  <c r="G59" i="6"/>
  <c r="E60" i="6"/>
  <c r="F60" i="6"/>
  <c r="G60" i="6"/>
  <c r="E61" i="6"/>
  <c r="F61" i="6"/>
  <c r="G61" i="6"/>
  <c r="E62" i="6"/>
  <c r="F62" i="6"/>
  <c r="G62" i="6"/>
  <c r="E63" i="6"/>
  <c r="F63" i="6"/>
  <c r="G63" i="6"/>
  <c r="E64" i="6"/>
  <c r="F64" i="6"/>
  <c r="G64" i="6"/>
  <c r="E65" i="6"/>
  <c r="F65" i="6"/>
  <c r="G65" i="6"/>
  <c r="E66" i="6"/>
  <c r="F66" i="6"/>
  <c r="G66" i="6"/>
  <c r="E67" i="6"/>
  <c r="F67" i="6"/>
  <c r="G67" i="6"/>
  <c r="E68" i="6"/>
  <c r="F68" i="6"/>
  <c r="G68" i="6"/>
  <c r="E69" i="6"/>
  <c r="F69" i="6"/>
  <c r="G69" i="6"/>
  <c r="E70" i="6"/>
  <c r="F70" i="6"/>
  <c r="G70" i="6"/>
  <c r="E71" i="6"/>
  <c r="F71" i="6"/>
  <c r="G71" i="6"/>
  <c r="E72" i="6"/>
  <c r="F72" i="6"/>
  <c r="G72" i="6"/>
  <c r="E73" i="6"/>
  <c r="F73" i="6"/>
  <c r="G73" i="6"/>
  <c r="E74" i="6"/>
  <c r="F74" i="6"/>
  <c r="G74" i="6"/>
  <c r="E75" i="6"/>
  <c r="F75" i="6"/>
  <c r="G75" i="6"/>
  <c r="E76" i="6"/>
  <c r="F76" i="6"/>
  <c r="G76" i="6"/>
  <c r="E77" i="6"/>
  <c r="F77" i="6"/>
  <c r="G77" i="6"/>
  <c r="E78" i="6"/>
  <c r="F78" i="6"/>
  <c r="G78" i="6"/>
  <c r="E79" i="6"/>
  <c r="F79" i="6"/>
  <c r="G79" i="6"/>
  <c r="E80" i="6"/>
  <c r="F80" i="6"/>
  <c r="G80" i="6"/>
  <c r="E81" i="6"/>
  <c r="F81" i="6"/>
  <c r="G81" i="6"/>
  <c r="E82" i="6"/>
  <c r="F82" i="6"/>
  <c r="G82" i="6"/>
  <c r="E83" i="6"/>
  <c r="F83" i="6"/>
  <c r="G83" i="6"/>
  <c r="E84" i="6"/>
  <c r="F84" i="6"/>
  <c r="G84" i="6"/>
  <c r="E85" i="6"/>
  <c r="F85" i="6"/>
  <c r="G85" i="6"/>
  <c r="E86" i="6"/>
  <c r="F86" i="6"/>
  <c r="G86" i="6"/>
  <c r="E87" i="6"/>
  <c r="F87" i="6"/>
  <c r="G87" i="6"/>
  <c r="E88" i="6"/>
  <c r="F88" i="6"/>
  <c r="G88" i="6"/>
  <c r="E89" i="6"/>
  <c r="F89" i="6"/>
  <c r="G89" i="6"/>
  <c r="E90" i="6"/>
  <c r="F90" i="6"/>
  <c r="G90" i="6"/>
  <c r="E91" i="6"/>
  <c r="F91" i="6"/>
  <c r="G91" i="6"/>
  <c r="E92" i="6"/>
  <c r="F92" i="6"/>
  <c r="G92" i="6"/>
  <c r="E93" i="6"/>
  <c r="F93" i="6"/>
  <c r="G93" i="6"/>
  <c r="E94" i="6"/>
  <c r="F94" i="6"/>
  <c r="G94" i="6"/>
  <c r="E95" i="6"/>
  <c r="F95" i="6"/>
  <c r="G95" i="6"/>
  <c r="E96" i="6"/>
  <c r="F96" i="6"/>
  <c r="G96" i="6"/>
  <c r="E97" i="6"/>
  <c r="F97" i="6"/>
  <c r="G97" i="6"/>
  <c r="E98" i="6"/>
  <c r="F98" i="6"/>
  <c r="G98" i="6"/>
  <c r="E99" i="6"/>
  <c r="F99" i="6"/>
  <c r="G99" i="6"/>
  <c r="E100" i="6"/>
  <c r="F100" i="6"/>
  <c r="G100" i="6"/>
  <c r="E101" i="6"/>
  <c r="F101" i="6"/>
  <c r="G101" i="6"/>
  <c r="E102" i="6"/>
  <c r="F102" i="6"/>
  <c r="G102" i="6"/>
  <c r="E103" i="6"/>
  <c r="F103" i="6"/>
  <c r="G103" i="6"/>
  <c r="E104" i="6"/>
  <c r="F104" i="6"/>
  <c r="G104" i="6"/>
  <c r="E105" i="6"/>
  <c r="F105" i="6"/>
  <c r="G105" i="6"/>
  <c r="E106" i="6"/>
  <c r="F106" i="6"/>
  <c r="G106" i="6"/>
  <c r="E107" i="6"/>
  <c r="F107" i="6"/>
  <c r="G107" i="6"/>
  <c r="E108" i="6"/>
  <c r="F108" i="6"/>
  <c r="G108" i="6"/>
  <c r="E109" i="6"/>
  <c r="F109" i="6"/>
  <c r="G109" i="6"/>
  <c r="E110" i="6"/>
  <c r="F110" i="6"/>
  <c r="G110" i="6"/>
  <c r="E111" i="6"/>
  <c r="F111" i="6"/>
  <c r="G111" i="6"/>
  <c r="E112" i="6"/>
  <c r="F112" i="6"/>
  <c r="G112" i="6"/>
  <c r="E113" i="6"/>
  <c r="F113" i="6"/>
  <c r="G113" i="6"/>
  <c r="E114" i="6"/>
  <c r="F114" i="6"/>
  <c r="G114" i="6"/>
  <c r="E115" i="6"/>
  <c r="F115" i="6"/>
  <c r="G115" i="6"/>
  <c r="E116" i="6"/>
  <c r="F116" i="6"/>
  <c r="G116" i="6"/>
  <c r="E117" i="6"/>
  <c r="F117" i="6"/>
  <c r="G117" i="6"/>
  <c r="E118" i="6"/>
  <c r="F118" i="6"/>
  <c r="G118" i="6"/>
  <c r="E119" i="6"/>
  <c r="F119" i="6"/>
  <c r="G119" i="6"/>
  <c r="E120" i="6"/>
  <c r="F120" i="6"/>
  <c r="G120" i="6"/>
  <c r="E121" i="6"/>
  <c r="F121" i="6"/>
  <c r="G121" i="6"/>
  <c r="E122" i="6"/>
  <c r="F122" i="6"/>
  <c r="G122" i="6"/>
  <c r="E123" i="6"/>
  <c r="F123" i="6"/>
  <c r="G123" i="6"/>
  <c r="E124" i="6"/>
  <c r="F124" i="6"/>
  <c r="G124" i="6"/>
  <c r="E125" i="6"/>
  <c r="F125" i="6"/>
  <c r="G125" i="6"/>
  <c r="E126" i="6"/>
  <c r="F126" i="6"/>
  <c r="G126" i="6"/>
  <c r="E127" i="6"/>
  <c r="F127" i="6"/>
  <c r="G127" i="6"/>
  <c r="E128" i="6"/>
  <c r="F128" i="6"/>
  <c r="G128" i="6"/>
  <c r="E129" i="6"/>
  <c r="F129" i="6"/>
  <c r="G129" i="6"/>
  <c r="E130" i="6"/>
  <c r="F130" i="6"/>
  <c r="G130" i="6"/>
  <c r="E131" i="6"/>
  <c r="F131" i="6"/>
  <c r="G131" i="6"/>
  <c r="E132" i="6"/>
  <c r="F132" i="6"/>
  <c r="G132" i="6"/>
  <c r="E133" i="6"/>
  <c r="F133" i="6"/>
  <c r="G133" i="6"/>
  <c r="E134" i="6"/>
  <c r="F134" i="6"/>
  <c r="G134" i="6"/>
  <c r="E135" i="6"/>
  <c r="F135" i="6"/>
  <c r="G135" i="6"/>
  <c r="E136" i="6"/>
  <c r="F136" i="6"/>
  <c r="G136" i="6"/>
  <c r="E137" i="6"/>
  <c r="F137" i="6"/>
  <c r="G137" i="6"/>
  <c r="E138" i="6"/>
  <c r="F138" i="6"/>
  <c r="G138" i="6"/>
  <c r="E139" i="6"/>
  <c r="F139" i="6"/>
  <c r="G139" i="6"/>
  <c r="E140" i="6"/>
  <c r="F140" i="6"/>
  <c r="G140" i="6"/>
  <c r="E141" i="6"/>
  <c r="F141" i="6"/>
  <c r="G141" i="6"/>
  <c r="E142" i="6"/>
  <c r="F142" i="6"/>
  <c r="G142" i="6"/>
  <c r="E143" i="6"/>
  <c r="F143" i="6"/>
  <c r="G143" i="6"/>
  <c r="E144" i="6"/>
  <c r="F144" i="6"/>
  <c r="G144" i="6"/>
  <c r="E145" i="6"/>
  <c r="F145" i="6"/>
  <c r="G145" i="6"/>
  <c r="E146" i="6"/>
  <c r="F146" i="6"/>
  <c r="G146" i="6"/>
  <c r="E147" i="6"/>
  <c r="F147" i="6"/>
  <c r="G147" i="6"/>
  <c r="E148" i="6"/>
  <c r="F148" i="6"/>
  <c r="G148" i="6"/>
  <c r="E149" i="6"/>
  <c r="F149" i="6"/>
  <c r="G149" i="6"/>
  <c r="E150" i="6"/>
  <c r="F150" i="6"/>
  <c r="G150" i="6"/>
  <c r="E151" i="6"/>
  <c r="F151" i="6"/>
  <c r="G151" i="6"/>
  <c r="E152" i="6"/>
  <c r="F152" i="6"/>
  <c r="G152" i="6"/>
  <c r="E153" i="6"/>
  <c r="F153" i="6"/>
  <c r="G153" i="6"/>
  <c r="E154" i="6"/>
  <c r="F154" i="6"/>
  <c r="G154" i="6"/>
  <c r="E155" i="6"/>
  <c r="F155" i="6"/>
  <c r="G155" i="6"/>
  <c r="E156" i="6"/>
  <c r="F156" i="6"/>
  <c r="G156" i="6"/>
  <c r="E157" i="6"/>
  <c r="F157" i="6"/>
  <c r="G157" i="6"/>
  <c r="E158" i="6"/>
  <c r="F158" i="6"/>
  <c r="G158" i="6"/>
  <c r="E159" i="6"/>
  <c r="F159" i="6"/>
  <c r="G159" i="6"/>
  <c r="E160" i="6"/>
  <c r="F160" i="6"/>
  <c r="G160" i="6"/>
  <c r="E161" i="6"/>
  <c r="F161" i="6"/>
  <c r="G161" i="6"/>
  <c r="E162" i="6"/>
  <c r="F162" i="6"/>
  <c r="G162" i="6"/>
  <c r="E163" i="6"/>
  <c r="F163" i="6"/>
  <c r="G163" i="6"/>
  <c r="E164" i="6"/>
  <c r="F164" i="6"/>
  <c r="G164" i="6"/>
  <c r="E165" i="6"/>
  <c r="F165" i="6"/>
  <c r="G165" i="6"/>
  <c r="E166" i="6"/>
  <c r="F166" i="6"/>
  <c r="G166" i="6"/>
  <c r="E167" i="6"/>
  <c r="F167" i="6"/>
  <c r="G167" i="6"/>
  <c r="E168" i="6"/>
  <c r="F168" i="6"/>
  <c r="G168" i="6"/>
  <c r="E169" i="6"/>
  <c r="F169" i="6"/>
  <c r="G169" i="6"/>
  <c r="E170" i="6"/>
  <c r="F170" i="6"/>
  <c r="G170" i="6"/>
  <c r="E171" i="6"/>
  <c r="F171" i="6"/>
  <c r="G171" i="6"/>
  <c r="E172" i="6"/>
  <c r="F172" i="6"/>
  <c r="G172" i="6"/>
  <c r="E173" i="6"/>
  <c r="F173" i="6"/>
  <c r="G173" i="6"/>
  <c r="E174" i="6"/>
  <c r="F174" i="6"/>
  <c r="G174" i="6"/>
  <c r="E175" i="6"/>
  <c r="F175" i="6"/>
  <c r="G175" i="6"/>
  <c r="E176" i="6"/>
  <c r="F176" i="6"/>
  <c r="G176" i="6"/>
  <c r="E177" i="6"/>
  <c r="F177" i="6"/>
  <c r="G177" i="6"/>
  <c r="E178" i="6"/>
  <c r="F178" i="6"/>
  <c r="G178" i="6"/>
  <c r="E179" i="6"/>
  <c r="F179" i="6"/>
  <c r="G179" i="6"/>
  <c r="E180" i="6"/>
  <c r="F180" i="6"/>
  <c r="G180" i="6"/>
  <c r="E181" i="6"/>
  <c r="F181" i="6"/>
  <c r="G181" i="6"/>
  <c r="E182" i="6"/>
  <c r="F182" i="6"/>
  <c r="G182" i="6"/>
  <c r="E183" i="6"/>
  <c r="F183" i="6"/>
  <c r="G183" i="6"/>
  <c r="E184" i="6"/>
  <c r="F184" i="6"/>
  <c r="G184" i="6"/>
  <c r="E185" i="6"/>
  <c r="F185" i="6"/>
  <c r="G185" i="6"/>
  <c r="E186" i="6"/>
  <c r="F186" i="6"/>
  <c r="G186" i="6"/>
  <c r="E187" i="6"/>
  <c r="F187" i="6"/>
  <c r="G187" i="6"/>
  <c r="E188" i="6"/>
  <c r="F188" i="6"/>
  <c r="G188" i="6"/>
  <c r="E189" i="6"/>
  <c r="F189" i="6"/>
  <c r="G189" i="6"/>
  <c r="E190" i="6"/>
  <c r="F190" i="6"/>
  <c r="G190" i="6"/>
  <c r="E191" i="6"/>
  <c r="F191" i="6"/>
  <c r="G191" i="6"/>
  <c r="E192" i="6"/>
  <c r="F192" i="6"/>
  <c r="G192" i="6"/>
  <c r="E193" i="6"/>
  <c r="F193" i="6"/>
  <c r="G193" i="6"/>
  <c r="E194" i="6"/>
  <c r="F194" i="6"/>
  <c r="G194" i="6"/>
  <c r="E195" i="6"/>
  <c r="F195" i="6"/>
  <c r="G195" i="6"/>
  <c r="E196" i="6"/>
  <c r="F196" i="6"/>
  <c r="G196" i="6"/>
  <c r="E197" i="6"/>
  <c r="F197" i="6"/>
  <c r="G197" i="6"/>
  <c r="E198" i="6"/>
  <c r="F198" i="6"/>
  <c r="G198" i="6"/>
  <c r="E199" i="6"/>
  <c r="F199" i="6"/>
  <c r="G199" i="6"/>
  <c r="E200" i="6"/>
  <c r="F200" i="6"/>
  <c r="G200" i="6"/>
  <c r="E201" i="6"/>
  <c r="F201" i="6"/>
  <c r="G201" i="6"/>
  <c r="E202" i="6"/>
  <c r="F202" i="6"/>
  <c r="G202" i="6"/>
  <c r="E203" i="6"/>
  <c r="F203" i="6"/>
  <c r="G203" i="6"/>
  <c r="E204" i="6"/>
  <c r="F204" i="6"/>
  <c r="G204" i="6"/>
  <c r="E205" i="6"/>
  <c r="F205" i="6"/>
  <c r="G205" i="6"/>
  <c r="E206" i="6"/>
  <c r="F206" i="6"/>
  <c r="G206" i="6"/>
  <c r="E207" i="6"/>
  <c r="F207" i="6"/>
  <c r="G207" i="6"/>
  <c r="E208" i="6"/>
  <c r="F208" i="6"/>
  <c r="G208" i="6"/>
  <c r="E209" i="6"/>
  <c r="F209" i="6"/>
  <c r="G209" i="6"/>
  <c r="E210" i="6"/>
  <c r="F210" i="6"/>
  <c r="G210" i="6"/>
  <c r="E211" i="6"/>
  <c r="F211" i="6"/>
  <c r="G211" i="6"/>
  <c r="E212" i="6"/>
  <c r="F212" i="6"/>
  <c r="G212" i="6"/>
  <c r="E213" i="6"/>
  <c r="F213" i="6"/>
  <c r="G213" i="6"/>
  <c r="E214" i="6"/>
  <c r="F214" i="6"/>
  <c r="G214" i="6"/>
  <c r="E215" i="6"/>
  <c r="F215" i="6"/>
  <c r="G215" i="6"/>
  <c r="E216" i="6"/>
  <c r="F216" i="6"/>
  <c r="G216" i="6"/>
  <c r="E217" i="6"/>
  <c r="F217" i="6"/>
  <c r="G217" i="6"/>
  <c r="E218" i="6"/>
  <c r="F218" i="6"/>
  <c r="G218" i="6"/>
  <c r="E219" i="6"/>
  <c r="F219" i="6"/>
  <c r="G219" i="6"/>
  <c r="E220" i="6"/>
  <c r="F220" i="6"/>
  <c r="G220" i="6"/>
  <c r="E221" i="6"/>
  <c r="F221" i="6"/>
  <c r="G221" i="6"/>
  <c r="E222" i="6"/>
  <c r="F222" i="6"/>
  <c r="G222" i="6"/>
  <c r="E223" i="6"/>
  <c r="F223" i="6"/>
  <c r="G223" i="6"/>
  <c r="E224" i="6"/>
  <c r="F224" i="6"/>
  <c r="G224" i="6"/>
  <c r="E225" i="6"/>
  <c r="F225" i="6"/>
  <c r="G225" i="6"/>
  <c r="E226" i="6"/>
  <c r="F226" i="6"/>
  <c r="G226" i="6"/>
  <c r="E227" i="6"/>
  <c r="F227" i="6"/>
  <c r="G227" i="6"/>
  <c r="E228" i="6"/>
  <c r="F228" i="6"/>
  <c r="G228" i="6"/>
  <c r="E229" i="6"/>
  <c r="F229" i="6"/>
  <c r="G229" i="6"/>
  <c r="E230" i="6"/>
  <c r="F230" i="6"/>
  <c r="G230" i="6"/>
  <c r="E231" i="6"/>
  <c r="F231" i="6"/>
  <c r="G231" i="6"/>
  <c r="E232" i="6"/>
  <c r="F232" i="6"/>
  <c r="G232" i="6"/>
  <c r="E233" i="6"/>
  <c r="F233" i="6"/>
  <c r="G233" i="6"/>
  <c r="E234" i="6"/>
  <c r="F234" i="6"/>
  <c r="G234" i="6"/>
  <c r="E235" i="6"/>
  <c r="F235" i="6"/>
  <c r="G235" i="6"/>
  <c r="E236" i="6"/>
  <c r="F236" i="6"/>
  <c r="G236" i="6"/>
  <c r="E237" i="6"/>
  <c r="F237" i="6"/>
  <c r="G237" i="6"/>
  <c r="E238" i="6"/>
  <c r="F238" i="6"/>
  <c r="G238" i="6"/>
  <c r="E239" i="6"/>
  <c r="F239" i="6"/>
  <c r="G239" i="6"/>
  <c r="E240" i="6"/>
  <c r="F240" i="6"/>
  <c r="G240" i="6"/>
  <c r="E241" i="6"/>
  <c r="F241" i="6"/>
  <c r="G241" i="6"/>
  <c r="E242" i="6"/>
  <c r="F242" i="6"/>
  <c r="G242" i="6"/>
  <c r="E243" i="6"/>
  <c r="F243" i="6"/>
  <c r="G243" i="6"/>
  <c r="E244" i="6"/>
  <c r="F244" i="6"/>
  <c r="G244" i="6"/>
  <c r="E245" i="6"/>
  <c r="F245" i="6"/>
  <c r="G245" i="6"/>
  <c r="E246" i="6"/>
  <c r="F246" i="6"/>
  <c r="G246" i="6"/>
  <c r="E247" i="6"/>
  <c r="F247" i="6"/>
  <c r="G247" i="6"/>
  <c r="E248" i="6"/>
  <c r="F248" i="6"/>
  <c r="G248" i="6"/>
  <c r="E249" i="6"/>
  <c r="F249" i="6"/>
  <c r="G249" i="6"/>
  <c r="E250" i="6"/>
  <c r="F250" i="6"/>
  <c r="G250" i="6"/>
  <c r="E251" i="6"/>
  <c r="F251" i="6"/>
  <c r="G251" i="6"/>
  <c r="E252" i="6"/>
  <c r="F252" i="6"/>
  <c r="G252" i="6"/>
  <c r="E253" i="6"/>
  <c r="F253" i="6"/>
  <c r="G253" i="6"/>
  <c r="E254" i="6"/>
  <c r="F254" i="6"/>
  <c r="G254" i="6"/>
  <c r="E255" i="6"/>
  <c r="F255" i="6"/>
  <c r="G255" i="6"/>
  <c r="E256" i="6"/>
  <c r="F256" i="6"/>
  <c r="G256" i="6"/>
  <c r="E257" i="6"/>
  <c r="F257" i="6"/>
  <c r="G257" i="6"/>
  <c r="E258" i="6"/>
  <c r="F258" i="6"/>
  <c r="G258" i="6"/>
  <c r="E259" i="6"/>
  <c r="F259" i="6"/>
  <c r="G259" i="6"/>
  <c r="E260" i="6"/>
  <c r="F260" i="6"/>
  <c r="G260" i="6"/>
  <c r="E261" i="6"/>
  <c r="F261" i="6"/>
  <c r="G261" i="6"/>
  <c r="E262" i="6"/>
  <c r="F262" i="6"/>
  <c r="G262" i="6"/>
  <c r="E263" i="6"/>
  <c r="F263" i="6"/>
  <c r="G263" i="6"/>
  <c r="E264" i="6"/>
  <c r="F264" i="6"/>
  <c r="G264" i="6"/>
  <c r="E265" i="6"/>
  <c r="F265" i="6"/>
  <c r="G265" i="6"/>
  <c r="E266" i="6"/>
  <c r="F266" i="6"/>
  <c r="G266" i="6"/>
  <c r="E267" i="6"/>
  <c r="F267" i="6"/>
  <c r="G267" i="6"/>
  <c r="E268" i="6"/>
  <c r="F268" i="6"/>
  <c r="G268" i="6"/>
  <c r="E269" i="6"/>
  <c r="F269" i="6"/>
  <c r="G269" i="6"/>
  <c r="E270" i="6"/>
  <c r="F270" i="6"/>
  <c r="G270" i="6"/>
  <c r="E271" i="6"/>
  <c r="F271" i="6"/>
  <c r="G271" i="6"/>
  <c r="E272" i="6"/>
  <c r="F272" i="6"/>
  <c r="G272" i="6"/>
  <c r="E273" i="6"/>
  <c r="F273" i="6"/>
  <c r="G273" i="6"/>
  <c r="E274" i="6"/>
  <c r="F274" i="6"/>
  <c r="G274" i="6"/>
  <c r="E275" i="6"/>
  <c r="F275" i="6"/>
  <c r="G275" i="6"/>
  <c r="E276" i="6"/>
  <c r="F276" i="6"/>
  <c r="G276" i="6"/>
  <c r="E277" i="6"/>
  <c r="F277" i="6"/>
  <c r="G277" i="6"/>
  <c r="E278" i="6"/>
  <c r="F278" i="6"/>
  <c r="G278" i="6"/>
  <c r="E279" i="6"/>
  <c r="F279" i="6"/>
  <c r="G279" i="6"/>
  <c r="E280" i="6"/>
  <c r="F280" i="6"/>
  <c r="G280" i="6"/>
  <c r="E281" i="6"/>
  <c r="F281" i="6"/>
  <c r="G281" i="6"/>
  <c r="E282" i="6"/>
  <c r="F282" i="6"/>
  <c r="G282" i="6"/>
  <c r="E283" i="6"/>
  <c r="F283" i="6"/>
  <c r="G283" i="6"/>
  <c r="E284" i="6"/>
  <c r="F284" i="6"/>
  <c r="G284" i="6"/>
  <c r="E285" i="6"/>
  <c r="F285" i="6"/>
  <c r="G285" i="6"/>
  <c r="E286" i="6"/>
  <c r="F286" i="6"/>
  <c r="G286" i="6"/>
  <c r="E287" i="6"/>
  <c r="F287" i="6"/>
  <c r="G287" i="6"/>
  <c r="E288" i="6"/>
  <c r="F288" i="6"/>
  <c r="G288" i="6"/>
  <c r="E289" i="6"/>
  <c r="F289" i="6"/>
  <c r="G289" i="6"/>
  <c r="E290" i="6"/>
  <c r="F290" i="6"/>
  <c r="G290" i="6"/>
  <c r="E291" i="6"/>
  <c r="F291" i="6"/>
  <c r="G291" i="6"/>
  <c r="E292" i="6"/>
  <c r="F292" i="6"/>
  <c r="G292" i="6"/>
  <c r="E293" i="6"/>
  <c r="F293" i="6"/>
  <c r="G293" i="6"/>
  <c r="E294" i="6"/>
  <c r="F294" i="6"/>
  <c r="G294" i="6"/>
  <c r="E295" i="6"/>
  <c r="F295" i="6"/>
  <c r="G295" i="6"/>
  <c r="E296" i="6"/>
  <c r="F296" i="6"/>
  <c r="G296" i="6"/>
  <c r="E297" i="6"/>
  <c r="F297" i="6"/>
  <c r="G297" i="6"/>
  <c r="E298" i="6"/>
  <c r="F298" i="6"/>
  <c r="G298" i="6"/>
  <c r="E299" i="6"/>
  <c r="F299" i="6"/>
  <c r="G299" i="6"/>
  <c r="E300" i="6"/>
  <c r="F300" i="6"/>
  <c r="G300" i="6"/>
  <c r="E301" i="6"/>
  <c r="F301" i="6"/>
  <c r="G301" i="6"/>
  <c r="E302" i="6"/>
  <c r="F302" i="6"/>
  <c r="G302" i="6"/>
  <c r="E303" i="6"/>
  <c r="F303" i="6"/>
  <c r="G303" i="6"/>
  <c r="E304" i="6"/>
  <c r="F304" i="6"/>
  <c r="G304" i="6"/>
  <c r="E305" i="6"/>
  <c r="F305" i="6"/>
  <c r="G305" i="6"/>
  <c r="E306" i="6"/>
  <c r="F306" i="6"/>
  <c r="G306" i="6"/>
  <c r="E307" i="6"/>
  <c r="F307" i="6"/>
  <c r="G307" i="6"/>
  <c r="E308" i="6"/>
  <c r="F308" i="6"/>
  <c r="G308" i="6"/>
  <c r="E309" i="6"/>
  <c r="F309" i="6"/>
  <c r="G309" i="6"/>
  <c r="E310" i="6"/>
  <c r="F310" i="6"/>
  <c r="G310" i="6"/>
  <c r="E311" i="6"/>
  <c r="F311" i="6"/>
  <c r="G311" i="6"/>
  <c r="E312" i="6"/>
  <c r="F312" i="6"/>
  <c r="G312" i="6"/>
  <c r="E313" i="6"/>
  <c r="F313" i="6"/>
  <c r="G313" i="6"/>
  <c r="E314" i="6"/>
  <c r="F314" i="6"/>
  <c r="G314" i="6"/>
  <c r="E315" i="6"/>
  <c r="F315" i="6"/>
  <c r="G315" i="6"/>
  <c r="E316" i="6"/>
  <c r="F316" i="6"/>
  <c r="G316" i="6"/>
  <c r="E317" i="6"/>
  <c r="F317" i="6"/>
  <c r="G317" i="6"/>
  <c r="E318" i="6"/>
  <c r="F318" i="6"/>
  <c r="G318" i="6"/>
  <c r="E319" i="6"/>
  <c r="F319" i="6"/>
  <c r="G319" i="6"/>
  <c r="E320" i="6"/>
  <c r="F320" i="6"/>
  <c r="G320" i="6"/>
  <c r="E321" i="6"/>
  <c r="F321" i="6"/>
  <c r="G321" i="6"/>
  <c r="E322" i="6"/>
  <c r="F322" i="6"/>
  <c r="G322" i="6"/>
  <c r="E323" i="6"/>
  <c r="F323" i="6"/>
  <c r="G323" i="6"/>
  <c r="E324" i="6"/>
  <c r="F324" i="6"/>
  <c r="G324" i="6"/>
  <c r="E325" i="6"/>
  <c r="F325" i="6"/>
  <c r="G325" i="6"/>
  <c r="E326" i="6"/>
  <c r="F326" i="6"/>
  <c r="G326" i="6"/>
  <c r="E327" i="6"/>
  <c r="F327" i="6"/>
  <c r="G327" i="6"/>
  <c r="E328" i="6"/>
  <c r="F328" i="6"/>
  <c r="G328" i="6"/>
  <c r="E329" i="6"/>
  <c r="F329" i="6"/>
  <c r="G329" i="6"/>
  <c r="E330" i="6"/>
  <c r="F330" i="6"/>
  <c r="G330" i="6"/>
  <c r="E331" i="6"/>
  <c r="F331" i="6"/>
  <c r="G331" i="6"/>
  <c r="E332" i="6"/>
  <c r="F332" i="6"/>
  <c r="G332" i="6"/>
  <c r="E333" i="6"/>
  <c r="F333" i="6"/>
  <c r="G333" i="6"/>
  <c r="E334" i="6"/>
  <c r="F334" i="6"/>
  <c r="G334" i="6"/>
  <c r="E335" i="6"/>
  <c r="F335" i="6"/>
  <c r="G335" i="6"/>
  <c r="E336" i="6"/>
  <c r="F336" i="6"/>
  <c r="G336" i="6"/>
  <c r="E337" i="6"/>
  <c r="F337" i="6"/>
  <c r="G337" i="6"/>
  <c r="E338" i="6"/>
  <c r="F338" i="6"/>
  <c r="G338" i="6"/>
  <c r="E339" i="6"/>
  <c r="F339" i="6"/>
  <c r="G339" i="6"/>
  <c r="E340" i="6"/>
  <c r="F340" i="6"/>
  <c r="G340" i="6"/>
  <c r="E341" i="6"/>
  <c r="F341" i="6"/>
  <c r="G341" i="6"/>
  <c r="E342" i="6"/>
  <c r="F342" i="6"/>
  <c r="G342" i="6"/>
  <c r="E343" i="6"/>
  <c r="F343" i="6"/>
  <c r="G343" i="6"/>
  <c r="E344" i="6"/>
  <c r="F344" i="6"/>
  <c r="G344" i="6"/>
  <c r="E345" i="6"/>
  <c r="F345" i="6"/>
  <c r="G345" i="6"/>
  <c r="E346" i="6"/>
  <c r="F346" i="6"/>
  <c r="G346" i="6"/>
  <c r="E347" i="6"/>
  <c r="F347" i="6"/>
  <c r="G347" i="6"/>
  <c r="E348" i="6"/>
  <c r="F348" i="6"/>
  <c r="G348" i="6"/>
  <c r="E349" i="6"/>
  <c r="F349" i="6"/>
  <c r="G349" i="6"/>
  <c r="E350" i="6"/>
  <c r="F350" i="6"/>
  <c r="G350" i="6"/>
  <c r="E351" i="6"/>
  <c r="F351" i="6"/>
  <c r="G351" i="6"/>
  <c r="E352" i="6"/>
  <c r="F352" i="6"/>
  <c r="G352" i="6"/>
  <c r="E353" i="6"/>
  <c r="F353" i="6"/>
  <c r="G353" i="6"/>
  <c r="E354" i="6"/>
  <c r="F354" i="6"/>
  <c r="G354" i="6"/>
  <c r="E355" i="6"/>
  <c r="F355" i="6"/>
  <c r="G355" i="6"/>
  <c r="E356" i="6"/>
  <c r="F356" i="6"/>
  <c r="G356" i="6"/>
  <c r="E357" i="6"/>
  <c r="F357" i="6"/>
  <c r="G357" i="6"/>
  <c r="E358" i="6"/>
  <c r="F358" i="6"/>
  <c r="G358" i="6"/>
  <c r="E359" i="6"/>
  <c r="F359" i="6"/>
  <c r="G359" i="6"/>
  <c r="E360" i="6"/>
  <c r="F360" i="6"/>
  <c r="G360" i="6"/>
  <c r="E361" i="6"/>
  <c r="F361" i="6"/>
  <c r="G361" i="6"/>
  <c r="E362" i="6"/>
  <c r="F362" i="6"/>
  <c r="G362" i="6"/>
  <c r="E363" i="6"/>
  <c r="F363" i="6"/>
  <c r="G363" i="6"/>
  <c r="E364" i="6"/>
  <c r="F364" i="6"/>
  <c r="G364" i="6"/>
  <c r="E365" i="6"/>
  <c r="F365" i="6"/>
  <c r="G365" i="6"/>
  <c r="E366" i="6"/>
  <c r="F366" i="6"/>
  <c r="G366" i="6"/>
  <c r="E367" i="6"/>
  <c r="F367" i="6"/>
  <c r="G367" i="6"/>
  <c r="E368" i="6"/>
  <c r="F368" i="6"/>
  <c r="G368" i="6"/>
  <c r="E369" i="6"/>
  <c r="F369" i="6"/>
  <c r="G369" i="6"/>
  <c r="E370" i="6"/>
  <c r="F370" i="6"/>
  <c r="G370" i="6"/>
  <c r="E371" i="6"/>
  <c r="F371" i="6"/>
  <c r="G371" i="6"/>
  <c r="E372" i="6"/>
  <c r="F372" i="6"/>
  <c r="G372" i="6"/>
  <c r="E373" i="6"/>
  <c r="F373" i="6"/>
  <c r="G373" i="6"/>
  <c r="E374" i="6"/>
  <c r="F374" i="6"/>
  <c r="G374" i="6"/>
  <c r="E375" i="6"/>
  <c r="F375" i="6"/>
  <c r="G375" i="6"/>
  <c r="E376" i="6"/>
  <c r="F376" i="6"/>
  <c r="G376" i="6"/>
  <c r="E377" i="6"/>
  <c r="F377" i="6"/>
  <c r="G377" i="6"/>
  <c r="E378" i="6"/>
  <c r="F378" i="6"/>
  <c r="G378" i="6"/>
  <c r="E379" i="6"/>
  <c r="F379" i="6"/>
  <c r="G379" i="6"/>
  <c r="E380" i="6"/>
  <c r="F380" i="6"/>
  <c r="G380" i="6"/>
  <c r="E381" i="6"/>
  <c r="F381" i="6"/>
  <c r="G381" i="6"/>
  <c r="E382" i="6"/>
  <c r="F382" i="6"/>
  <c r="G382" i="6"/>
  <c r="E383" i="6"/>
  <c r="F383" i="6"/>
  <c r="G383" i="6"/>
  <c r="E384" i="6"/>
  <c r="F384" i="6"/>
  <c r="G384" i="6"/>
  <c r="E385" i="6"/>
  <c r="F385" i="6"/>
  <c r="G385" i="6"/>
  <c r="E386" i="6"/>
  <c r="F386" i="6"/>
  <c r="G386" i="6"/>
  <c r="E387" i="6"/>
  <c r="F387" i="6"/>
  <c r="G387" i="6"/>
  <c r="E388" i="6"/>
  <c r="F388" i="6"/>
  <c r="G388" i="6"/>
  <c r="E389" i="6"/>
  <c r="F389" i="6"/>
  <c r="G389" i="6"/>
  <c r="E390" i="6"/>
  <c r="F390" i="6"/>
  <c r="G390" i="6"/>
  <c r="E391" i="6"/>
  <c r="F391" i="6"/>
  <c r="G391" i="6"/>
  <c r="E392" i="6"/>
  <c r="F392" i="6"/>
  <c r="G392" i="6"/>
  <c r="E393" i="6"/>
  <c r="F393" i="6"/>
  <c r="G393" i="6"/>
  <c r="E394" i="6"/>
  <c r="F394" i="6"/>
  <c r="G394" i="6"/>
  <c r="E395" i="6"/>
  <c r="F395" i="6"/>
  <c r="G395" i="6"/>
  <c r="E396" i="6"/>
  <c r="F396" i="6"/>
  <c r="G396" i="6"/>
  <c r="E397" i="6"/>
  <c r="F397" i="6"/>
  <c r="G397" i="6"/>
  <c r="E398" i="6"/>
  <c r="F398" i="6"/>
  <c r="G398" i="6"/>
  <c r="E399" i="6"/>
  <c r="F399" i="6"/>
  <c r="G399" i="6"/>
  <c r="E400" i="6"/>
  <c r="F400" i="6"/>
  <c r="G400" i="6"/>
  <c r="E401" i="6"/>
  <c r="F401" i="6"/>
  <c r="G401" i="6"/>
  <c r="E402" i="6"/>
  <c r="F402" i="6"/>
  <c r="G402" i="6"/>
  <c r="E403" i="6"/>
  <c r="F403" i="6"/>
  <c r="G403" i="6"/>
  <c r="E404" i="6"/>
  <c r="F404" i="6"/>
  <c r="G404" i="6"/>
  <c r="E405" i="6"/>
  <c r="F405" i="6"/>
  <c r="G405" i="6"/>
  <c r="E406" i="6"/>
  <c r="F406" i="6"/>
  <c r="G406" i="6"/>
  <c r="E407" i="6"/>
  <c r="F407" i="6"/>
  <c r="G407" i="6"/>
  <c r="E408" i="6"/>
  <c r="F408" i="6"/>
  <c r="G408" i="6"/>
  <c r="E409" i="6"/>
  <c r="F409" i="6"/>
  <c r="G409" i="6"/>
  <c r="E410" i="6"/>
  <c r="F410" i="6"/>
  <c r="G410" i="6"/>
  <c r="E411" i="6"/>
  <c r="F411" i="6"/>
  <c r="G411" i="6"/>
  <c r="E412" i="6"/>
  <c r="F412" i="6"/>
  <c r="G412" i="6"/>
  <c r="E413" i="6"/>
  <c r="F413" i="6"/>
  <c r="G413" i="6"/>
  <c r="E414" i="6"/>
  <c r="F414" i="6"/>
  <c r="G414" i="6"/>
  <c r="E415" i="6"/>
  <c r="F415" i="6"/>
  <c r="G415" i="6"/>
  <c r="E416" i="6"/>
  <c r="F416" i="6"/>
  <c r="G416" i="6"/>
  <c r="E417" i="6"/>
  <c r="F417" i="6"/>
  <c r="G417" i="6"/>
  <c r="E418" i="6"/>
  <c r="F418" i="6"/>
  <c r="G418" i="6"/>
  <c r="E419" i="6"/>
  <c r="F419" i="6"/>
  <c r="G419" i="6"/>
  <c r="E420" i="6"/>
  <c r="F420" i="6"/>
  <c r="G420" i="6"/>
  <c r="E421" i="6"/>
  <c r="F421" i="6"/>
  <c r="G421" i="6"/>
  <c r="E422" i="6"/>
  <c r="F422" i="6"/>
  <c r="G422" i="6"/>
  <c r="E423" i="6"/>
  <c r="F423" i="6"/>
  <c r="G423" i="6"/>
  <c r="E424" i="6"/>
  <c r="F424" i="6"/>
  <c r="G424" i="6"/>
  <c r="E425" i="6"/>
  <c r="F425" i="6"/>
  <c r="G425" i="6"/>
  <c r="E426" i="6"/>
  <c r="F426" i="6"/>
  <c r="G426" i="6"/>
  <c r="E427" i="6"/>
  <c r="F427" i="6"/>
  <c r="G427" i="6"/>
  <c r="E428" i="6"/>
  <c r="F428" i="6"/>
  <c r="G428" i="6"/>
  <c r="E429" i="6"/>
  <c r="F429" i="6"/>
  <c r="G429" i="6"/>
  <c r="E430" i="6"/>
  <c r="F430" i="6"/>
  <c r="G430" i="6"/>
  <c r="E431" i="6"/>
  <c r="F431" i="6"/>
  <c r="G431" i="6"/>
  <c r="E432" i="6"/>
  <c r="F432" i="6"/>
  <c r="G432" i="6"/>
  <c r="E433" i="6"/>
  <c r="F433" i="6"/>
  <c r="G433" i="6"/>
  <c r="E434" i="6"/>
  <c r="F434" i="6"/>
  <c r="G434" i="6"/>
  <c r="E435" i="6"/>
  <c r="F435" i="6"/>
  <c r="G435" i="6"/>
  <c r="E436" i="6"/>
  <c r="F436" i="6"/>
  <c r="G436" i="6"/>
  <c r="E437" i="6"/>
  <c r="F437" i="6"/>
  <c r="G437" i="6"/>
  <c r="E438" i="6"/>
  <c r="F438" i="6"/>
  <c r="G438" i="6"/>
  <c r="E439" i="6"/>
  <c r="F439" i="6"/>
  <c r="G439" i="6"/>
  <c r="E440" i="6"/>
  <c r="F440" i="6"/>
  <c r="G440" i="6"/>
  <c r="E441" i="6"/>
  <c r="F441" i="6"/>
  <c r="G441" i="6"/>
  <c r="E442" i="6"/>
  <c r="F442" i="6"/>
  <c r="G442" i="6"/>
  <c r="E443" i="6"/>
  <c r="F443" i="6"/>
  <c r="G443" i="6"/>
  <c r="E444" i="6"/>
  <c r="F444" i="6"/>
  <c r="G444" i="6"/>
  <c r="E445" i="6"/>
  <c r="F445" i="6"/>
  <c r="G445" i="6"/>
  <c r="E446" i="6"/>
  <c r="F446" i="6"/>
  <c r="G446" i="6"/>
  <c r="E447" i="6"/>
  <c r="F447" i="6"/>
  <c r="G447" i="6"/>
  <c r="E448" i="6"/>
  <c r="F448" i="6"/>
  <c r="G448" i="6"/>
  <c r="E449" i="6"/>
  <c r="F449" i="6"/>
  <c r="G449" i="6"/>
  <c r="E450" i="6"/>
  <c r="F450" i="6"/>
  <c r="G450" i="6"/>
  <c r="E451" i="6"/>
  <c r="F451" i="6"/>
  <c r="G451" i="6"/>
  <c r="E452" i="6"/>
  <c r="F452" i="6"/>
  <c r="G452" i="6"/>
  <c r="E453" i="6"/>
  <c r="F453" i="6"/>
  <c r="G453" i="6"/>
  <c r="E454" i="6"/>
  <c r="F454" i="6"/>
  <c r="G454" i="6"/>
  <c r="E455" i="6"/>
  <c r="F455" i="6"/>
  <c r="G455" i="6"/>
  <c r="E456" i="6"/>
  <c r="F456" i="6"/>
  <c r="G456" i="6"/>
  <c r="E457" i="6"/>
  <c r="F457" i="6"/>
  <c r="G457" i="6"/>
  <c r="E458" i="6"/>
  <c r="F458" i="6"/>
  <c r="G458" i="6"/>
  <c r="E459" i="6"/>
  <c r="F459" i="6"/>
  <c r="G459" i="6"/>
  <c r="E460" i="6"/>
  <c r="F460" i="6"/>
  <c r="G460" i="6"/>
  <c r="E461" i="6"/>
  <c r="F461" i="6"/>
  <c r="G461" i="6"/>
  <c r="E462" i="6"/>
  <c r="F462" i="6"/>
  <c r="G462" i="6"/>
  <c r="E463" i="6"/>
  <c r="F463" i="6"/>
  <c r="G463" i="6"/>
  <c r="E464" i="6"/>
  <c r="F464" i="6"/>
  <c r="G464" i="6"/>
  <c r="E465" i="6"/>
  <c r="F465" i="6"/>
  <c r="G465" i="6"/>
  <c r="E466" i="6"/>
  <c r="F466" i="6"/>
  <c r="G466" i="6"/>
  <c r="E467" i="6"/>
  <c r="F467" i="6"/>
  <c r="G467" i="6"/>
  <c r="E468" i="6"/>
  <c r="F468" i="6"/>
  <c r="G468" i="6"/>
  <c r="E469" i="6"/>
  <c r="F469" i="6"/>
  <c r="G469" i="6"/>
  <c r="E470" i="6"/>
  <c r="F470" i="6"/>
  <c r="G470" i="6"/>
  <c r="E471" i="6"/>
  <c r="F471" i="6"/>
  <c r="G471" i="6"/>
  <c r="E472" i="6"/>
  <c r="F472" i="6"/>
  <c r="G472" i="6"/>
  <c r="E473" i="6"/>
  <c r="F473" i="6"/>
  <c r="G473" i="6"/>
  <c r="E474" i="6"/>
  <c r="F474" i="6"/>
  <c r="G474" i="6"/>
  <c r="E475" i="6"/>
  <c r="F475" i="6"/>
  <c r="G475" i="6"/>
  <c r="E476" i="6"/>
  <c r="F476" i="6"/>
  <c r="G476" i="6"/>
  <c r="E477" i="6"/>
  <c r="F477" i="6"/>
  <c r="G477" i="6"/>
  <c r="E478" i="6"/>
  <c r="F478" i="6"/>
  <c r="G478" i="6"/>
  <c r="E479" i="6"/>
  <c r="F479" i="6"/>
  <c r="G479" i="6"/>
  <c r="E480" i="6"/>
  <c r="F480" i="6"/>
  <c r="G480" i="6"/>
  <c r="E481" i="6"/>
  <c r="F481" i="6"/>
  <c r="G481" i="6"/>
  <c r="E482" i="6"/>
  <c r="F482" i="6"/>
  <c r="G482" i="6"/>
  <c r="E483" i="6"/>
  <c r="F483" i="6"/>
  <c r="G483" i="6"/>
  <c r="E484" i="6"/>
  <c r="F484" i="6"/>
  <c r="G484" i="6"/>
  <c r="E485" i="6"/>
  <c r="F485" i="6"/>
  <c r="G485" i="6"/>
  <c r="E486" i="6"/>
  <c r="F486" i="6"/>
  <c r="G486" i="6"/>
  <c r="E487" i="6"/>
  <c r="F487" i="6"/>
  <c r="G487" i="6"/>
  <c r="E488" i="6"/>
  <c r="F488" i="6"/>
  <c r="G488" i="6"/>
  <c r="E489" i="6"/>
  <c r="F489" i="6"/>
  <c r="G489" i="6"/>
  <c r="E490" i="6"/>
  <c r="F490" i="6"/>
  <c r="G490" i="6"/>
  <c r="E491" i="6"/>
  <c r="F491" i="6"/>
  <c r="G491" i="6"/>
  <c r="E492" i="6"/>
  <c r="F492" i="6"/>
  <c r="G492" i="6"/>
  <c r="E493" i="6"/>
  <c r="F493" i="6"/>
  <c r="G493" i="6"/>
  <c r="E494" i="6"/>
  <c r="F494" i="6"/>
  <c r="G494" i="6"/>
  <c r="E495" i="6"/>
  <c r="F495" i="6"/>
  <c r="G495" i="6"/>
  <c r="E496" i="6"/>
  <c r="F496" i="6"/>
  <c r="G496" i="6"/>
  <c r="E497" i="6"/>
  <c r="F497" i="6"/>
  <c r="G497" i="6"/>
  <c r="E498" i="6"/>
  <c r="F498" i="6"/>
  <c r="G498" i="6"/>
  <c r="E499" i="6"/>
  <c r="F499" i="6"/>
  <c r="G499" i="6"/>
  <c r="E500" i="6"/>
  <c r="F500" i="6"/>
  <c r="G500" i="6"/>
  <c r="E501" i="6"/>
  <c r="F501" i="6"/>
  <c r="G501" i="6"/>
  <c r="E502" i="6"/>
  <c r="F502" i="6"/>
  <c r="G502" i="6"/>
  <c r="E503" i="6"/>
  <c r="F503" i="6"/>
  <c r="G503" i="6"/>
  <c r="E504" i="6"/>
  <c r="F504" i="6"/>
  <c r="G504" i="6"/>
  <c r="E505" i="6"/>
  <c r="F505" i="6"/>
  <c r="G505" i="6"/>
  <c r="E506" i="6"/>
  <c r="F506" i="6"/>
  <c r="G506" i="6"/>
  <c r="E507" i="6"/>
  <c r="F507" i="6"/>
  <c r="G507" i="6"/>
  <c r="E508" i="6"/>
  <c r="F508" i="6"/>
  <c r="G508" i="6"/>
  <c r="E509" i="6"/>
  <c r="F509" i="6"/>
  <c r="G509" i="6"/>
  <c r="E510" i="6"/>
  <c r="F510" i="6"/>
  <c r="G510" i="6"/>
  <c r="E511" i="6"/>
  <c r="F511" i="6"/>
  <c r="G511" i="6"/>
  <c r="E512" i="6"/>
  <c r="F512" i="6"/>
  <c r="G512" i="6"/>
  <c r="E513" i="6"/>
  <c r="F513" i="6"/>
  <c r="G513" i="6"/>
  <c r="E514" i="6"/>
  <c r="F514" i="6"/>
  <c r="G514" i="6"/>
  <c r="E515" i="6"/>
  <c r="F515" i="6"/>
  <c r="G515" i="6"/>
  <c r="E516" i="6"/>
  <c r="F516" i="6"/>
  <c r="G516" i="6"/>
  <c r="E517" i="6"/>
  <c r="F517" i="6"/>
  <c r="G517" i="6"/>
  <c r="E518" i="6"/>
  <c r="F518" i="6"/>
  <c r="G518" i="6"/>
  <c r="E519" i="6"/>
  <c r="F519" i="6"/>
  <c r="G519" i="6"/>
  <c r="E520" i="6"/>
  <c r="F520" i="6"/>
  <c r="G520" i="6"/>
  <c r="E521" i="6"/>
  <c r="F521" i="6"/>
  <c r="G521" i="6"/>
  <c r="E522" i="6"/>
  <c r="F522" i="6"/>
  <c r="G522" i="6"/>
  <c r="E523" i="6"/>
  <c r="F523" i="6"/>
  <c r="G523" i="6"/>
  <c r="E524" i="6"/>
  <c r="F524" i="6"/>
  <c r="G524" i="6"/>
  <c r="E525" i="6"/>
  <c r="F525" i="6"/>
  <c r="G525" i="6"/>
  <c r="E526" i="6"/>
  <c r="F526" i="6"/>
  <c r="G526" i="6"/>
  <c r="E527" i="6"/>
  <c r="F527" i="6"/>
  <c r="G527" i="6"/>
  <c r="E528" i="6"/>
  <c r="F528" i="6"/>
  <c r="G528" i="6"/>
  <c r="E529" i="6"/>
  <c r="F529" i="6"/>
  <c r="G529" i="6"/>
  <c r="E530" i="6"/>
  <c r="F530" i="6"/>
  <c r="G530" i="6"/>
  <c r="E531" i="6"/>
  <c r="F531" i="6"/>
  <c r="G531" i="6"/>
  <c r="E532" i="6"/>
  <c r="F532" i="6"/>
  <c r="G532" i="6"/>
  <c r="E533" i="6"/>
  <c r="F533" i="6"/>
  <c r="G533" i="6"/>
  <c r="E534" i="6"/>
  <c r="F534" i="6"/>
  <c r="G534" i="6"/>
  <c r="E535" i="6"/>
  <c r="F535" i="6"/>
  <c r="G535" i="6"/>
  <c r="E536" i="6"/>
  <c r="F536" i="6"/>
  <c r="G536" i="6"/>
  <c r="E537" i="6"/>
  <c r="F537" i="6"/>
  <c r="G537" i="6"/>
  <c r="E538" i="6"/>
  <c r="F538" i="6"/>
  <c r="G538" i="6"/>
  <c r="E539" i="6"/>
  <c r="F539" i="6"/>
  <c r="G539" i="6"/>
  <c r="E540" i="6"/>
  <c r="F540" i="6"/>
  <c r="G540" i="6"/>
  <c r="E541" i="6"/>
  <c r="F541" i="6"/>
  <c r="G541" i="6"/>
  <c r="E542" i="6"/>
  <c r="F542" i="6"/>
  <c r="G542" i="6"/>
  <c r="E543" i="6"/>
  <c r="F543" i="6"/>
  <c r="G543" i="6"/>
  <c r="E544" i="6"/>
  <c r="F544" i="6"/>
  <c r="G544" i="6"/>
  <c r="E545" i="6"/>
  <c r="F545" i="6"/>
  <c r="G545" i="6"/>
  <c r="E546" i="6"/>
  <c r="F546" i="6"/>
  <c r="G546" i="6"/>
  <c r="E547" i="6"/>
  <c r="F547" i="6"/>
  <c r="G547" i="6"/>
  <c r="E548" i="6"/>
  <c r="F548" i="6"/>
  <c r="G548" i="6"/>
  <c r="E549" i="6"/>
  <c r="F549" i="6"/>
  <c r="G549" i="6"/>
  <c r="E550" i="6"/>
  <c r="F550" i="6"/>
  <c r="G550" i="6"/>
  <c r="E551" i="6"/>
  <c r="F551" i="6"/>
  <c r="G551" i="6"/>
  <c r="E552" i="6"/>
  <c r="F552" i="6"/>
  <c r="G552" i="6"/>
  <c r="E553" i="6"/>
  <c r="F553" i="6"/>
  <c r="G553" i="6"/>
  <c r="E554" i="6"/>
  <c r="F554" i="6"/>
  <c r="G554" i="6"/>
  <c r="E555" i="6"/>
  <c r="F555" i="6"/>
  <c r="G555" i="6"/>
  <c r="E556" i="6"/>
  <c r="F556" i="6"/>
  <c r="G556" i="6"/>
  <c r="E557" i="6"/>
  <c r="F557" i="6"/>
  <c r="G557" i="6"/>
  <c r="E558" i="6"/>
  <c r="F558" i="6"/>
  <c r="G558" i="6"/>
  <c r="E559" i="6"/>
  <c r="F559" i="6"/>
  <c r="G559" i="6"/>
  <c r="E560" i="6"/>
  <c r="F560" i="6"/>
  <c r="G560" i="6"/>
  <c r="E561" i="6"/>
  <c r="F561" i="6"/>
  <c r="G561" i="6"/>
  <c r="E562" i="6"/>
  <c r="F562" i="6"/>
  <c r="G562" i="6"/>
  <c r="E563" i="6"/>
  <c r="F563" i="6"/>
  <c r="G563" i="6"/>
  <c r="E564" i="6"/>
  <c r="F564" i="6"/>
  <c r="G564" i="6"/>
  <c r="E565" i="6"/>
  <c r="F565" i="6"/>
  <c r="G565" i="6"/>
  <c r="E566" i="6"/>
  <c r="F566" i="6"/>
  <c r="G566" i="6"/>
  <c r="E567" i="6"/>
  <c r="F567" i="6"/>
  <c r="G567" i="6"/>
  <c r="E568" i="6"/>
  <c r="F568" i="6"/>
  <c r="G568" i="6"/>
  <c r="E569" i="6"/>
  <c r="F569" i="6"/>
  <c r="G569" i="6"/>
  <c r="E570" i="6"/>
  <c r="F570" i="6"/>
  <c r="G570" i="6"/>
  <c r="E571" i="6"/>
  <c r="F571" i="6"/>
  <c r="G571" i="6"/>
  <c r="E572" i="6"/>
  <c r="F572" i="6"/>
  <c r="G572" i="6"/>
  <c r="E573" i="6"/>
  <c r="F573" i="6"/>
  <c r="G573" i="6"/>
  <c r="E574" i="6"/>
  <c r="F574" i="6"/>
  <c r="G574" i="6"/>
  <c r="E575" i="6"/>
  <c r="F575" i="6"/>
  <c r="G575" i="6"/>
  <c r="E576" i="6"/>
  <c r="F576" i="6"/>
  <c r="G576" i="6"/>
  <c r="E577" i="6"/>
  <c r="F577" i="6"/>
  <c r="G577" i="6"/>
  <c r="E578" i="6"/>
  <c r="F578" i="6"/>
  <c r="G578" i="6"/>
  <c r="E579" i="6"/>
  <c r="F579" i="6"/>
  <c r="G579" i="6"/>
  <c r="E580" i="6"/>
  <c r="F580" i="6"/>
  <c r="G580" i="6"/>
  <c r="E581" i="6"/>
  <c r="F581" i="6"/>
  <c r="G581" i="6"/>
  <c r="E582" i="6"/>
  <c r="F582" i="6"/>
  <c r="G582" i="6"/>
  <c r="E583" i="6"/>
  <c r="F583" i="6"/>
  <c r="G583" i="6"/>
  <c r="E584" i="6"/>
  <c r="F584" i="6"/>
  <c r="G584" i="6"/>
  <c r="E585" i="6"/>
  <c r="F585" i="6"/>
  <c r="G585" i="6"/>
  <c r="E586" i="6"/>
  <c r="F586" i="6"/>
  <c r="G586" i="6"/>
  <c r="E587" i="6"/>
  <c r="F587" i="6"/>
  <c r="G587" i="6"/>
  <c r="E588" i="6"/>
  <c r="F588" i="6"/>
  <c r="G588" i="6"/>
  <c r="E589" i="6"/>
  <c r="F589" i="6"/>
  <c r="G589" i="6"/>
  <c r="E590" i="6"/>
  <c r="F590" i="6"/>
  <c r="G590" i="6"/>
  <c r="E591" i="6"/>
  <c r="F591" i="6"/>
  <c r="G591" i="6"/>
  <c r="E592" i="6"/>
  <c r="F592" i="6"/>
  <c r="G592" i="6"/>
  <c r="E593" i="6"/>
  <c r="F593" i="6"/>
  <c r="G593" i="6"/>
  <c r="E594" i="6"/>
  <c r="F594" i="6"/>
  <c r="G594" i="6"/>
  <c r="E595" i="6"/>
  <c r="F595" i="6"/>
  <c r="G595" i="6"/>
  <c r="E596" i="6"/>
  <c r="F596" i="6"/>
  <c r="G596" i="6"/>
  <c r="E597" i="6"/>
  <c r="F597" i="6"/>
  <c r="G597" i="6"/>
  <c r="E598" i="6"/>
  <c r="F598" i="6"/>
  <c r="G598" i="6"/>
  <c r="E599" i="6"/>
  <c r="F599" i="6"/>
  <c r="G599" i="6"/>
  <c r="E600" i="6"/>
  <c r="F600" i="6"/>
  <c r="G600" i="6"/>
  <c r="E601" i="6"/>
  <c r="F601" i="6"/>
  <c r="G601" i="6"/>
  <c r="E602" i="6"/>
  <c r="F602" i="6"/>
  <c r="G602" i="6"/>
  <c r="E603" i="6"/>
  <c r="F603" i="6"/>
  <c r="G603" i="6"/>
  <c r="E604" i="6"/>
  <c r="F604" i="6"/>
  <c r="G604" i="6"/>
  <c r="E605" i="6"/>
  <c r="F605" i="6"/>
  <c r="G605" i="6"/>
  <c r="E606" i="6"/>
  <c r="F606" i="6"/>
  <c r="G606" i="6"/>
  <c r="E607" i="6"/>
  <c r="F607" i="6"/>
  <c r="G607" i="6"/>
  <c r="E608" i="6"/>
  <c r="F608" i="6"/>
  <c r="G608" i="6"/>
  <c r="E609" i="6"/>
  <c r="F609" i="6"/>
  <c r="G609" i="6"/>
  <c r="E610" i="6"/>
  <c r="F610" i="6"/>
  <c r="G610" i="6"/>
  <c r="E611" i="6"/>
  <c r="F611" i="6"/>
  <c r="G611" i="6"/>
  <c r="E612" i="6"/>
  <c r="F612" i="6"/>
  <c r="G612" i="6"/>
  <c r="E613" i="6"/>
  <c r="F613" i="6"/>
  <c r="G613" i="6"/>
  <c r="E614" i="6"/>
  <c r="F614" i="6"/>
  <c r="G614" i="6"/>
  <c r="E615" i="6"/>
  <c r="F615" i="6"/>
  <c r="G615" i="6"/>
  <c r="E616" i="6"/>
  <c r="F616" i="6"/>
  <c r="G616" i="6"/>
  <c r="E617" i="6"/>
  <c r="F617" i="6"/>
  <c r="G617" i="6"/>
  <c r="E618" i="6"/>
  <c r="F618" i="6"/>
  <c r="G618" i="6"/>
  <c r="E619" i="6"/>
  <c r="F619" i="6"/>
  <c r="G619" i="6"/>
  <c r="E620" i="6"/>
  <c r="F620" i="6"/>
  <c r="G620" i="6"/>
  <c r="E621" i="6"/>
  <c r="F621" i="6"/>
  <c r="G621" i="6"/>
  <c r="E622" i="6"/>
  <c r="F622" i="6"/>
  <c r="G622" i="6"/>
  <c r="E623" i="6"/>
  <c r="F623" i="6"/>
  <c r="G623" i="6"/>
  <c r="E624" i="6"/>
  <c r="F624" i="6"/>
  <c r="G624" i="6"/>
  <c r="E625" i="6"/>
  <c r="F625" i="6"/>
  <c r="G625" i="6"/>
  <c r="E626" i="6"/>
  <c r="F626" i="6"/>
  <c r="G626" i="6"/>
  <c r="E627" i="6"/>
  <c r="F627" i="6"/>
  <c r="G627" i="6"/>
  <c r="E628" i="6"/>
  <c r="F628" i="6"/>
  <c r="G628" i="6"/>
  <c r="E629" i="6"/>
  <c r="F629" i="6"/>
  <c r="G629" i="6"/>
  <c r="E630" i="6"/>
  <c r="F630" i="6"/>
  <c r="G630" i="6"/>
  <c r="E631" i="6"/>
  <c r="F631" i="6"/>
  <c r="G631" i="6"/>
  <c r="E632" i="6"/>
  <c r="F632" i="6"/>
  <c r="G632" i="6"/>
  <c r="E633" i="6"/>
  <c r="F633" i="6"/>
  <c r="G633" i="6"/>
  <c r="E634" i="6"/>
  <c r="F634" i="6"/>
  <c r="G634" i="6"/>
  <c r="E635" i="6"/>
  <c r="F635" i="6"/>
  <c r="G635" i="6"/>
  <c r="E636" i="6"/>
  <c r="F636" i="6"/>
  <c r="G636" i="6"/>
  <c r="E637" i="6"/>
  <c r="F637" i="6"/>
  <c r="G637" i="6"/>
  <c r="E638" i="6"/>
  <c r="F638" i="6"/>
  <c r="G638" i="6"/>
  <c r="E639" i="6"/>
  <c r="F639" i="6"/>
  <c r="G639" i="6"/>
  <c r="E640" i="6"/>
  <c r="F640" i="6"/>
  <c r="G640" i="6"/>
  <c r="E641" i="6"/>
  <c r="F641" i="6"/>
  <c r="G641" i="6"/>
  <c r="E642" i="6"/>
  <c r="F642" i="6"/>
  <c r="G642" i="6"/>
  <c r="E643" i="6"/>
  <c r="F643" i="6"/>
  <c r="G643" i="6"/>
  <c r="E644" i="6"/>
  <c r="F644" i="6"/>
  <c r="G644" i="6"/>
  <c r="E645" i="6"/>
  <c r="F645" i="6"/>
  <c r="G645" i="6"/>
  <c r="E646" i="6"/>
  <c r="F646" i="6"/>
  <c r="G646" i="6"/>
  <c r="E647" i="6"/>
  <c r="F647" i="6"/>
  <c r="G647" i="6"/>
  <c r="E648" i="6"/>
  <c r="F648" i="6"/>
  <c r="G648" i="6"/>
  <c r="E649" i="6"/>
  <c r="F649" i="6"/>
  <c r="G649" i="6"/>
  <c r="E650" i="6"/>
  <c r="F650" i="6"/>
  <c r="G650" i="6"/>
  <c r="E651" i="6"/>
  <c r="F651" i="6"/>
  <c r="G651" i="6"/>
  <c r="E652" i="6"/>
  <c r="F652" i="6"/>
  <c r="G652" i="6"/>
  <c r="E653" i="6"/>
  <c r="F653" i="6"/>
  <c r="G653" i="6"/>
  <c r="E654" i="6"/>
  <c r="F654" i="6"/>
  <c r="G654" i="6"/>
  <c r="E655" i="6"/>
  <c r="F655" i="6"/>
  <c r="G655" i="6"/>
  <c r="E656" i="6"/>
  <c r="F656" i="6"/>
  <c r="G656" i="6"/>
  <c r="E657" i="6"/>
  <c r="F657" i="6"/>
  <c r="G657" i="6"/>
  <c r="E658" i="6"/>
  <c r="F658" i="6"/>
  <c r="G658" i="6"/>
  <c r="E659" i="6"/>
  <c r="F659" i="6"/>
  <c r="G659" i="6"/>
  <c r="E660" i="6"/>
  <c r="F660" i="6"/>
  <c r="G660" i="6"/>
  <c r="E661" i="6"/>
  <c r="F661" i="6"/>
  <c r="G661" i="6"/>
  <c r="E662" i="6"/>
  <c r="F662" i="6"/>
  <c r="G662" i="6"/>
  <c r="E663" i="6"/>
  <c r="F663" i="6"/>
  <c r="G663" i="6"/>
  <c r="E664" i="6"/>
  <c r="F664" i="6"/>
  <c r="G664" i="6"/>
  <c r="E665" i="6"/>
  <c r="F665" i="6"/>
  <c r="G665" i="6"/>
  <c r="E666" i="6"/>
  <c r="F666" i="6"/>
  <c r="G666" i="6"/>
  <c r="E667" i="6"/>
  <c r="F667" i="6"/>
  <c r="G667" i="6"/>
  <c r="E668" i="6"/>
  <c r="F668" i="6"/>
  <c r="G668" i="6"/>
  <c r="E669" i="6"/>
  <c r="F669" i="6"/>
  <c r="G669" i="6"/>
  <c r="E670" i="6"/>
  <c r="F670" i="6"/>
  <c r="G670" i="6"/>
  <c r="E671" i="6"/>
  <c r="F671" i="6"/>
  <c r="G671" i="6"/>
  <c r="E672" i="6"/>
  <c r="F672" i="6"/>
  <c r="G672" i="6"/>
  <c r="E673" i="6"/>
  <c r="F673" i="6"/>
  <c r="G673" i="6"/>
  <c r="E674" i="6"/>
  <c r="F674" i="6"/>
  <c r="G674" i="6"/>
  <c r="E675" i="6"/>
  <c r="F675" i="6"/>
  <c r="G675" i="6"/>
  <c r="E676" i="6"/>
  <c r="F676" i="6"/>
  <c r="G676" i="6"/>
  <c r="E677" i="6"/>
  <c r="F677" i="6"/>
  <c r="G677" i="6"/>
  <c r="E678" i="6"/>
  <c r="F678" i="6"/>
  <c r="G678" i="6"/>
  <c r="E679" i="6"/>
  <c r="F679" i="6"/>
  <c r="G679" i="6"/>
  <c r="E680" i="6"/>
  <c r="F680" i="6"/>
  <c r="G680" i="6"/>
  <c r="E681" i="6"/>
  <c r="F681" i="6"/>
  <c r="G681" i="6"/>
  <c r="E682" i="6"/>
  <c r="F682" i="6"/>
  <c r="G682" i="6"/>
  <c r="E683" i="6"/>
  <c r="F683" i="6"/>
  <c r="G683" i="6"/>
  <c r="E684" i="6"/>
  <c r="F684" i="6"/>
  <c r="G684" i="6"/>
  <c r="E685" i="6"/>
  <c r="F685" i="6"/>
  <c r="G685" i="6"/>
  <c r="E686" i="6"/>
  <c r="F686" i="6"/>
  <c r="G686" i="6"/>
  <c r="E687" i="6"/>
  <c r="F687" i="6"/>
  <c r="G687" i="6"/>
  <c r="E688" i="6"/>
  <c r="F688" i="6"/>
  <c r="G688" i="6"/>
  <c r="E689" i="6"/>
  <c r="F689" i="6"/>
  <c r="G689" i="6"/>
  <c r="E690" i="6"/>
  <c r="F690" i="6"/>
  <c r="G690" i="6"/>
  <c r="E691" i="6"/>
  <c r="F691" i="6"/>
  <c r="G691" i="6"/>
  <c r="E692" i="6"/>
  <c r="F692" i="6"/>
  <c r="G692" i="6"/>
  <c r="E693" i="6"/>
  <c r="F693" i="6"/>
  <c r="G693" i="6"/>
  <c r="E694" i="6"/>
  <c r="F694" i="6"/>
  <c r="G694" i="6"/>
  <c r="E695" i="6"/>
  <c r="F695" i="6"/>
  <c r="G695" i="6"/>
  <c r="E696" i="6"/>
  <c r="F696" i="6"/>
  <c r="G696" i="6"/>
  <c r="E697" i="6"/>
  <c r="F697" i="6"/>
  <c r="G697" i="6"/>
  <c r="E698" i="6"/>
  <c r="F698" i="6"/>
  <c r="G698" i="6"/>
  <c r="E699" i="6"/>
  <c r="F699" i="6"/>
  <c r="G699" i="6"/>
  <c r="E700" i="6"/>
  <c r="F700" i="6"/>
  <c r="G700" i="6"/>
  <c r="E701" i="6"/>
  <c r="F701" i="6"/>
  <c r="G701" i="6"/>
  <c r="E702" i="6"/>
  <c r="F702" i="6"/>
  <c r="G702" i="6"/>
  <c r="E703" i="6"/>
  <c r="F703" i="6"/>
  <c r="G703" i="6"/>
  <c r="E704" i="6"/>
  <c r="F704" i="6"/>
  <c r="G704" i="6"/>
  <c r="E705" i="6"/>
  <c r="F705" i="6"/>
  <c r="G705" i="6"/>
  <c r="E706" i="6"/>
  <c r="F706" i="6"/>
  <c r="G706" i="6"/>
  <c r="E707" i="6"/>
  <c r="F707" i="6"/>
  <c r="G707" i="6"/>
  <c r="E708" i="6"/>
  <c r="F708" i="6"/>
  <c r="G708" i="6"/>
  <c r="E709" i="6"/>
  <c r="F709" i="6"/>
  <c r="G709" i="6"/>
  <c r="E710" i="6"/>
  <c r="F710" i="6"/>
  <c r="G710" i="6"/>
  <c r="E711" i="6"/>
  <c r="F711" i="6"/>
  <c r="G711" i="6"/>
  <c r="E712" i="6"/>
  <c r="F712" i="6"/>
  <c r="G712" i="6"/>
  <c r="E713" i="6"/>
  <c r="F713" i="6"/>
  <c r="G713" i="6"/>
  <c r="E714" i="6"/>
  <c r="F714" i="6"/>
  <c r="G714" i="6"/>
  <c r="E715" i="6"/>
  <c r="F715" i="6"/>
  <c r="G715" i="6"/>
  <c r="E716" i="6"/>
  <c r="F716" i="6"/>
  <c r="G716" i="6"/>
  <c r="E717" i="6"/>
  <c r="F717" i="6"/>
  <c r="G717" i="6"/>
  <c r="E718" i="6"/>
  <c r="F718" i="6"/>
  <c r="G718" i="6"/>
  <c r="E719" i="6"/>
  <c r="F719" i="6"/>
  <c r="G719" i="6"/>
  <c r="E720" i="6"/>
  <c r="F720" i="6"/>
  <c r="G720" i="6"/>
  <c r="E721" i="6"/>
  <c r="F721" i="6"/>
  <c r="G721" i="6"/>
  <c r="E722" i="6"/>
  <c r="F722" i="6"/>
  <c r="G722" i="6"/>
  <c r="E723" i="6"/>
  <c r="F723" i="6"/>
  <c r="G723" i="6"/>
  <c r="E724" i="6"/>
  <c r="F724" i="6"/>
  <c r="G724" i="6"/>
  <c r="E725" i="6"/>
  <c r="F725" i="6"/>
  <c r="G725" i="6"/>
  <c r="E726" i="6"/>
  <c r="F726" i="6"/>
  <c r="G726" i="6"/>
  <c r="E727" i="6"/>
  <c r="F727" i="6"/>
  <c r="G727" i="6"/>
  <c r="E728" i="6"/>
  <c r="F728" i="6"/>
  <c r="G728" i="6"/>
  <c r="E729" i="6"/>
  <c r="F729" i="6"/>
  <c r="G729" i="6"/>
  <c r="E730" i="6"/>
  <c r="F730" i="6"/>
  <c r="G730" i="6"/>
  <c r="E731" i="6"/>
  <c r="F731" i="6"/>
  <c r="G731" i="6"/>
  <c r="E732" i="6"/>
  <c r="F732" i="6"/>
  <c r="G732" i="6"/>
  <c r="E733" i="6"/>
  <c r="F733" i="6"/>
  <c r="G733" i="6"/>
  <c r="E734" i="6"/>
  <c r="F734" i="6"/>
  <c r="G734" i="6"/>
  <c r="E735" i="6"/>
  <c r="F735" i="6"/>
  <c r="G735" i="6"/>
  <c r="E736" i="6"/>
  <c r="F736" i="6"/>
  <c r="G736" i="6"/>
  <c r="E737" i="6"/>
  <c r="F737" i="6"/>
  <c r="G737" i="6"/>
  <c r="E738" i="6"/>
  <c r="F738" i="6"/>
  <c r="G738" i="6"/>
  <c r="E739" i="6"/>
  <c r="F739" i="6"/>
  <c r="G739" i="6"/>
  <c r="E740" i="6"/>
  <c r="F740" i="6"/>
  <c r="G740" i="6"/>
  <c r="E741" i="6"/>
  <c r="F741" i="6"/>
  <c r="G741" i="6"/>
  <c r="E742" i="6"/>
  <c r="F742" i="6"/>
  <c r="G742" i="6"/>
  <c r="E743" i="6"/>
  <c r="F743" i="6"/>
  <c r="G743" i="6"/>
  <c r="E744" i="6"/>
  <c r="F744" i="6"/>
  <c r="G744" i="6"/>
  <c r="E745" i="6"/>
  <c r="F745" i="6"/>
  <c r="G745" i="6"/>
  <c r="E746" i="6"/>
  <c r="F746" i="6"/>
  <c r="G746" i="6"/>
  <c r="E747" i="6"/>
  <c r="F747" i="6"/>
  <c r="G747" i="6"/>
  <c r="E748" i="6"/>
  <c r="F748" i="6"/>
  <c r="G748" i="6"/>
  <c r="E749" i="6"/>
  <c r="F749" i="6"/>
  <c r="G749" i="6"/>
  <c r="E750" i="6"/>
  <c r="F750" i="6"/>
  <c r="G750" i="6"/>
  <c r="E751" i="6"/>
  <c r="F751" i="6"/>
  <c r="G751" i="6"/>
  <c r="E752" i="6"/>
  <c r="F752" i="6"/>
  <c r="G752" i="6"/>
  <c r="E753" i="6"/>
  <c r="F753" i="6"/>
  <c r="G753" i="6"/>
  <c r="E754" i="6"/>
  <c r="F754" i="6"/>
  <c r="G754" i="6"/>
  <c r="E755" i="6"/>
  <c r="F755" i="6"/>
  <c r="G755" i="6"/>
  <c r="E756" i="6"/>
  <c r="F756" i="6"/>
  <c r="G756" i="6"/>
  <c r="E757" i="6"/>
  <c r="F757" i="6"/>
  <c r="G757" i="6"/>
  <c r="E758" i="6"/>
  <c r="F758" i="6"/>
  <c r="G758" i="6"/>
  <c r="E759" i="6"/>
  <c r="F759" i="6"/>
  <c r="G759" i="6"/>
  <c r="E760" i="6"/>
  <c r="F760" i="6"/>
  <c r="G760" i="6"/>
  <c r="E761" i="6"/>
  <c r="F761" i="6"/>
  <c r="G761" i="6"/>
  <c r="E762" i="6"/>
  <c r="F762" i="6"/>
  <c r="G762" i="6"/>
  <c r="E763" i="6"/>
  <c r="F763" i="6"/>
  <c r="G763" i="6"/>
  <c r="E764" i="6"/>
  <c r="F764" i="6"/>
  <c r="G764" i="6"/>
  <c r="E765" i="6"/>
  <c r="F765" i="6"/>
  <c r="G765" i="6"/>
  <c r="E766" i="6"/>
  <c r="F766" i="6"/>
  <c r="G766" i="6"/>
  <c r="E767" i="6"/>
  <c r="F767" i="6"/>
  <c r="G767" i="6"/>
  <c r="E768" i="6"/>
  <c r="F768" i="6"/>
  <c r="G768" i="6"/>
  <c r="E769" i="6"/>
  <c r="F769" i="6"/>
  <c r="G769" i="6"/>
  <c r="E770" i="6"/>
  <c r="F770" i="6"/>
  <c r="G770" i="6"/>
  <c r="E771" i="6"/>
  <c r="F771" i="6"/>
  <c r="G771" i="6"/>
  <c r="E772" i="6"/>
  <c r="F772" i="6"/>
  <c r="G772" i="6"/>
  <c r="E773" i="6"/>
  <c r="F773" i="6"/>
  <c r="G773" i="6"/>
  <c r="E774" i="6"/>
  <c r="F774" i="6"/>
  <c r="G774" i="6"/>
  <c r="E775" i="6"/>
  <c r="F775" i="6"/>
  <c r="G775" i="6"/>
  <c r="E776" i="6"/>
  <c r="F776" i="6"/>
  <c r="G776" i="6"/>
  <c r="E777" i="6"/>
  <c r="F777" i="6"/>
  <c r="G777" i="6"/>
  <c r="E778" i="6"/>
  <c r="F778" i="6"/>
  <c r="G778" i="6"/>
  <c r="E779" i="6"/>
  <c r="F779" i="6"/>
  <c r="G779" i="6"/>
  <c r="E780" i="6"/>
  <c r="F780" i="6"/>
  <c r="G780" i="6"/>
  <c r="E781" i="6"/>
  <c r="F781" i="6"/>
  <c r="G781" i="6"/>
  <c r="E782" i="6"/>
  <c r="F782" i="6"/>
  <c r="G782" i="6"/>
  <c r="E783" i="6"/>
  <c r="F783" i="6"/>
  <c r="G783" i="6"/>
  <c r="E784" i="6"/>
  <c r="F784" i="6"/>
  <c r="G784" i="6"/>
  <c r="E785" i="6"/>
  <c r="F785" i="6"/>
  <c r="G785" i="6"/>
  <c r="E786" i="6"/>
  <c r="F786" i="6"/>
  <c r="G786" i="6"/>
  <c r="E787" i="6"/>
  <c r="F787" i="6"/>
  <c r="G787" i="6"/>
  <c r="E788" i="6"/>
  <c r="F788" i="6"/>
  <c r="G788" i="6"/>
  <c r="E789" i="6"/>
  <c r="F789" i="6"/>
  <c r="G789" i="6"/>
  <c r="E790" i="6"/>
  <c r="F790" i="6"/>
  <c r="G790" i="6"/>
  <c r="E791" i="6"/>
  <c r="F791" i="6"/>
  <c r="G791" i="6"/>
  <c r="E792" i="6"/>
  <c r="F792" i="6"/>
  <c r="G792" i="6"/>
  <c r="E793" i="6"/>
  <c r="F793" i="6"/>
  <c r="G793" i="6"/>
  <c r="E794" i="6"/>
  <c r="F794" i="6"/>
  <c r="G794" i="6"/>
  <c r="E795" i="6"/>
  <c r="F795" i="6"/>
  <c r="G795" i="6"/>
  <c r="E796" i="6"/>
  <c r="F796" i="6"/>
  <c r="G796" i="6"/>
  <c r="E797" i="6"/>
  <c r="F797" i="6"/>
  <c r="G797" i="6"/>
  <c r="E798" i="6"/>
  <c r="F798" i="6"/>
  <c r="G798" i="6"/>
  <c r="E799" i="6"/>
  <c r="F799" i="6"/>
  <c r="G799" i="6"/>
  <c r="E800" i="6"/>
  <c r="F800" i="6"/>
  <c r="G800" i="6"/>
  <c r="E801" i="6"/>
  <c r="F801" i="6"/>
  <c r="G801" i="6"/>
  <c r="E802" i="6"/>
  <c r="F802" i="6"/>
  <c r="G802" i="6"/>
  <c r="E803" i="6"/>
  <c r="F803" i="6"/>
  <c r="G803" i="6"/>
  <c r="E804" i="6"/>
  <c r="F804" i="6"/>
  <c r="G804" i="6"/>
  <c r="E805" i="6"/>
  <c r="F805" i="6"/>
  <c r="G805" i="6"/>
  <c r="E806" i="6"/>
  <c r="F806" i="6"/>
  <c r="G806" i="6"/>
  <c r="E807" i="6"/>
  <c r="F807" i="6"/>
  <c r="G807" i="6"/>
  <c r="E808" i="6"/>
  <c r="F808" i="6"/>
  <c r="G808" i="6"/>
  <c r="E809" i="6"/>
  <c r="F809" i="6"/>
  <c r="G809" i="6"/>
  <c r="E810" i="6"/>
  <c r="F810" i="6"/>
  <c r="G810" i="6"/>
  <c r="E811" i="6"/>
  <c r="F811" i="6"/>
  <c r="G811" i="6"/>
  <c r="E812" i="6"/>
  <c r="F812" i="6"/>
  <c r="G812" i="6"/>
  <c r="E813" i="6"/>
  <c r="F813" i="6"/>
  <c r="G813" i="6"/>
  <c r="E814" i="6"/>
  <c r="F814" i="6"/>
  <c r="G814" i="6"/>
  <c r="E815" i="6"/>
  <c r="F815" i="6"/>
  <c r="G815" i="6"/>
  <c r="E816" i="6"/>
  <c r="F816" i="6"/>
  <c r="G816" i="6"/>
  <c r="E817" i="6"/>
  <c r="F817" i="6"/>
  <c r="G817" i="6"/>
  <c r="E818" i="6"/>
  <c r="F818" i="6"/>
  <c r="G818" i="6"/>
  <c r="E819" i="6"/>
  <c r="F819" i="6"/>
  <c r="G819" i="6"/>
  <c r="E820" i="6"/>
  <c r="F820" i="6"/>
  <c r="G820" i="6"/>
  <c r="E821" i="6"/>
  <c r="F821" i="6"/>
  <c r="G821" i="6"/>
  <c r="E822" i="6"/>
  <c r="F822" i="6"/>
  <c r="G822" i="6"/>
  <c r="E823" i="6"/>
  <c r="F823" i="6"/>
  <c r="G823" i="6"/>
  <c r="E824" i="6"/>
  <c r="F824" i="6"/>
  <c r="G824" i="6"/>
  <c r="E825" i="6"/>
  <c r="F825" i="6"/>
  <c r="G825" i="6"/>
  <c r="E826" i="6"/>
  <c r="F826" i="6"/>
  <c r="G826" i="6"/>
  <c r="E827" i="6"/>
  <c r="F827" i="6"/>
  <c r="G827" i="6"/>
  <c r="E828" i="6"/>
  <c r="F828" i="6"/>
  <c r="G828" i="6"/>
  <c r="E829" i="6"/>
  <c r="F829" i="6"/>
  <c r="G829" i="6"/>
  <c r="E830" i="6"/>
  <c r="F830" i="6"/>
  <c r="G830" i="6"/>
  <c r="E831" i="6"/>
  <c r="F831" i="6"/>
  <c r="G831" i="6"/>
  <c r="E832" i="6"/>
  <c r="F832" i="6"/>
  <c r="G832" i="6"/>
  <c r="E833" i="6"/>
  <c r="F833" i="6"/>
  <c r="G833" i="6"/>
  <c r="E834" i="6"/>
  <c r="F834" i="6"/>
  <c r="G834" i="6"/>
  <c r="E835" i="6"/>
  <c r="F835" i="6"/>
  <c r="G835" i="6"/>
  <c r="E836" i="6"/>
  <c r="F836" i="6"/>
  <c r="G836" i="6"/>
  <c r="E837" i="6"/>
  <c r="F837" i="6"/>
  <c r="G837" i="6"/>
  <c r="E838" i="6"/>
  <c r="F838" i="6"/>
  <c r="G838" i="6"/>
  <c r="E839" i="6"/>
  <c r="F839" i="6"/>
  <c r="G839" i="6"/>
  <c r="E840" i="6"/>
  <c r="F840" i="6"/>
  <c r="G840" i="6"/>
  <c r="E841" i="6"/>
  <c r="F841" i="6"/>
  <c r="G841" i="6"/>
  <c r="E842" i="6"/>
  <c r="F842" i="6"/>
  <c r="G842" i="6"/>
  <c r="E843" i="6"/>
  <c r="F843" i="6"/>
  <c r="G843" i="6"/>
  <c r="E844" i="6"/>
  <c r="F844" i="6"/>
  <c r="G844" i="6"/>
  <c r="E845" i="6"/>
  <c r="F845" i="6"/>
  <c r="G845" i="6"/>
  <c r="E846" i="6"/>
  <c r="F846" i="6"/>
  <c r="G846" i="6"/>
  <c r="E847" i="6"/>
  <c r="F847" i="6"/>
  <c r="G847" i="6"/>
  <c r="E848" i="6"/>
  <c r="F848" i="6"/>
  <c r="G848" i="6"/>
  <c r="E849" i="6"/>
  <c r="F849" i="6"/>
  <c r="G849" i="6"/>
  <c r="E850" i="6"/>
  <c r="F850" i="6"/>
  <c r="G850" i="6"/>
  <c r="E851" i="6"/>
  <c r="F851" i="6"/>
  <c r="G851" i="6"/>
  <c r="E852" i="6"/>
  <c r="F852" i="6"/>
  <c r="G852" i="6"/>
  <c r="E853" i="6"/>
  <c r="F853" i="6"/>
  <c r="G853" i="6"/>
  <c r="E854" i="6"/>
  <c r="F854" i="6"/>
  <c r="G854" i="6"/>
  <c r="E855" i="6"/>
  <c r="F855" i="6"/>
  <c r="G855" i="6"/>
  <c r="E856" i="6"/>
  <c r="F856" i="6"/>
  <c r="G856" i="6"/>
  <c r="E857" i="6"/>
  <c r="F857" i="6"/>
  <c r="G857" i="6"/>
  <c r="E858" i="6"/>
  <c r="F858" i="6"/>
  <c r="G858" i="6"/>
  <c r="E859" i="6"/>
  <c r="F859" i="6"/>
  <c r="G859" i="6"/>
  <c r="E860" i="6"/>
  <c r="F860" i="6"/>
  <c r="G860" i="6"/>
  <c r="E861" i="6"/>
  <c r="F861" i="6"/>
  <c r="G861" i="6"/>
  <c r="E862" i="6"/>
  <c r="F862" i="6"/>
  <c r="G862" i="6"/>
  <c r="E863" i="6"/>
  <c r="F863" i="6"/>
  <c r="G863" i="6"/>
  <c r="E864" i="6"/>
  <c r="F864" i="6"/>
  <c r="G864" i="6"/>
  <c r="E865" i="6"/>
  <c r="F865" i="6"/>
  <c r="G865" i="6"/>
  <c r="E866" i="6"/>
  <c r="F866" i="6"/>
  <c r="G866" i="6"/>
  <c r="E867" i="6"/>
  <c r="F867" i="6"/>
  <c r="G867" i="6"/>
  <c r="E868" i="6"/>
  <c r="F868" i="6"/>
  <c r="G868" i="6"/>
  <c r="E869" i="6"/>
  <c r="F869" i="6"/>
  <c r="G869" i="6"/>
  <c r="E870" i="6"/>
  <c r="F870" i="6"/>
  <c r="G870" i="6"/>
  <c r="E871" i="6"/>
  <c r="F871" i="6"/>
  <c r="G871" i="6"/>
  <c r="E872" i="6"/>
  <c r="F872" i="6"/>
  <c r="G872" i="6"/>
  <c r="E873" i="6"/>
  <c r="F873" i="6"/>
  <c r="G873" i="6"/>
  <c r="E874" i="6"/>
  <c r="F874" i="6"/>
  <c r="G874" i="6"/>
  <c r="E875" i="6"/>
  <c r="F875" i="6"/>
  <c r="G875" i="6"/>
  <c r="E876" i="6"/>
  <c r="F876" i="6"/>
  <c r="G876" i="6"/>
  <c r="E877" i="6"/>
  <c r="F877" i="6"/>
  <c r="G877" i="6"/>
  <c r="E878" i="6"/>
  <c r="F878" i="6"/>
  <c r="G878" i="6"/>
  <c r="E879" i="6"/>
  <c r="F879" i="6"/>
  <c r="G879" i="6"/>
  <c r="E880" i="6"/>
  <c r="F880" i="6"/>
  <c r="G880" i="6"/>
  <c r="E881" i="6"/>
  <c r="F881" i="6"/>
  <c r="G881" i="6"/>
  <c r="E882" i="6"/>
  <c r="F882" i="6"/>
  <c r="G882" i="6"/>
  <c r="E883" i="6"/>
  <c r="F883" i="6"/>
  <c r="G883" i="6"/>
  <c r="E884" i="6"/>
  <c r="F884" i="6"/>
  <c r="G884" i="6"/>
  <c r="E885" i="6"/>
  <c r="F885" i="6"/>
  <c r="G885" i="6"/>
  <c r="E886" i="6"/>
  <c r="F886" i="6"/>
  <c r="G886" i="6"/>
  <c r="E887" i="6"/>
  <c r="F887" i="6"/>
  <c r="G887" i="6"/>
  <c r="E888" i="6"/>
  <c r="F888" i="6"/>
  <c r="G888" i="6"/>
  <c r="E889" i="6"/>
  <c r="F889" i="6"/>
  <c r="G889" i="6"/>
  <c r="E890" i="6"/>
  <c r="F890" i="6"/>
  <c r="G890" i="6"/>
  <c r="E891" i="6"/>
  <c r="F891" i="6"/>
  <c r="G891" i="6"/>
  <c r="E892" i="6"/>
  <c r="F892" i="6"/>
  <c r="G892" i="6"/>
  <c r="E893" i="6"/>
  <c r="F893" i="6"/>
  <c r="G893" i="6"/>
  <c r="E894" i="6"/>
  <c r="F894" i="6"/>
  <c r="G894" i="6"/>
  <c r="E895" i="6"/>
  <c r="F895" i="6"/>
  <c r="G895" i="6"/>
  <c r="E896" i="6"/>
  <c r="F896" i="6"/>
  <c r="G896" i="6"/>
  <c r="E897" i="6"/>
  <c r="F897" i="6"/>
  <c r="G897" i="6"/>
  <c r="E898" i="6"/>
  <c r="F898" i="6"/>
  <c r="G898" i="6"/>
  <c r="E899" i="6"/>
  <c r="F899" i="6"/>
  <c r="G899" i="6"/>
  <c r="E900" i="6"/>
  <c r="F900" i="6"/>
  <c r="G900" i="6"/>
  <c r="E901" i="6"/>
  <c r="F901" i="6"/>
  <c r="G901" i="6"/>
  <c r="E902" i="6"/>
  <c r="F902" i="6"/>
  <c r="G902" i="6"/>
  <c r="E903" i="6"/>
  <c r="F903" i="6"/>
  <c r="G903" i="6"/>
  <c r="E904" i="6"/>
  <c r="F904" i="6"/>
  <c r="G904" i="6"/>
  <c r="E905" i="6"/>
  <c r="F905" i="6"/>
  <c r="G905" i="6"/>
  <c r="E906" i="6"/>
  <c r="F906" i="6"/>
  <c r="G906" i="6"/>
  <c r="E907" i="6"/>
  <c r="F907" i="6"/>
  <c r="G907" i="6"/>
  <c r="E908" i="6"/>
  <c r="F908" i="6"/>
  <c r="G908" i="6"/>
  <c r="E909" i="6"/>
  <c r="F909" i="6"/>
  <c r="G909" i="6"/>
  <c r="E910" i="6"/>
  <c r="F910" i="6"/>
  <c r="G910" i="6"/>
  <c r="E911" i="6"/>
  <c r="F911" i="6"/>
  <c r="G911" i="6"/>
  <c r="E912" i="6"/>
  <c r="F912" i="6"/>
  <c r="G912" i="6"/>
  <c r="E913" i="6"/>
  <c r="F913" i="6"/>
  <c r="G913" i="6"/>
  <c r="E914" i="6"/>
  <c r="F914" i="6"/>
  <c r="G914" i="6"/>
  <c r="E915" i="6"/>
  <c r="F915" i="6"/>
  <c r="G915" i="6"/>
  <c r="E916" i="6"/>
  <c r="F916" i="6"/>
  <c r="G916" i="6"/>
  <c r="E917" i="6"/>
  <c r="F917" i="6"/>
  <c r="G917" i="6"/>
  <c r="E918" i="6"/>
  <c r="F918" i="6"/>
  <c r="G918" i="6"/>
  <c r="E919" i="6"/>
  <c r="F919" i="6"/>
  <c r="G919" i="6"/>
  <c r="E920" i="6"/>
  <c r="F920" i="6"/>
  <c r="G920" i="6"/>
  <c r="E921" i="6"/>
  <c r="F921" i="6"/>
  <c r="G921" i="6"/>
  <c r="E922" i="6"/>
  <c r="F922" i="6"/>
  <c r="G922" i="6"/>
  <c r="E923" i="6"/>
  <c r="F923" i="6"/>
  <c r="G923" i="6"/>
  <c r="E924" i="6"/>
  <c r="F924" i="6"/>
  <c r="G924" i="6"/>
  <c r="E925" i="6"/>
  <c r="F925" i="6"/>
  <c r="G925" i="6"/>
  <c r="E926" i="6"/>
  <c r="F926" i="6"/>
  <c r="G926" i="6"/>
  <c r="E927" i="6"/>
  <c r="F927" i="6"/>
  <c r="G927" i="6"/>
  <c r="E928" i="6"/>
  <c r="F928" i="6"/>
  <c r="G928" i="6"/>
  <c r="E929" i="6"/>
  <c r="F929" i="6"/>
  <c r="G929" i="6"/>
  <c r="E930" i="6"/>
  <c r="F930" i="6"/>
  <c r="G930" i="6"/>
  <c r="E931" i="6"/>
  <c r="F931" i="6"/>
  <c r="G931" i="6"/>
  <c r="E932" i="6"/>
  <c r="F932" i="6"/>
  <c r="G932" i="6"/>
  <c r="E933" i="6"/>
  <c r="F933" i="6"/>
  <c r="G933" i="6"/>
  <c r="E934" i="6"/>
  <c r="F934" i="6"/>
  <c r="G934" i="6"/>
  <c r="E935" i="6"/>
  <c r="F935" i="6"/>
  <c r="G935" i="6"/>
  <c r="E936" i="6"/>
  <c r="F936" i="6"/>
  <c r="G936" i="6"/>
  <c r="E937" i="6"/>
  <c r="F937" i="6"/>
  <c r="G937" i="6"/>
  <c r="E938" i="6"/>
  <c r="F938" i="6"/>
  <c r="G938" i="6"/>
  <c r="E939" i="6"/>
  <c r="F939" i="6"/>
  <c r="G939" i="6"/>
  <c r="E940" i="6"/>
  <c r="F940" i="6"/>
  <c r="G940" i="6"/>
  <c r="E941" i="6"/>
  <c r="F941" i="6"/>
  <c r="G941" i="6"/>
  <c r="E942" i="6"/>
  <c r="F942" i="6"/>
  <c r="G942" i="6"/>
  <c r="E943" i="6"/>
  <c r="F943" i="6"/>
  <c r="G943" i="6"/>
  <c r="E944" i="6"/>
  <c r="F944" i="6"/>
  <c r="G944" i="6"/>
  <c r="E945" i="6"/>
  <c r="F945" i="6"/>
  <c r="G945" i="6"/>
  <c r="E946" i="6"/>
  <c r="F946" i="6"/>
  <c r="G946" i="6"/>
  <c r="E947" i="6"/>
  <c r="F947" i="6"/>
  <c r="G947" i="6"/>
  <c r="E948" i="6"/>
  <c r="F948" i="6"/>
  <c r="G948" i="6"/>
  <c r="E949" i="6"/>
  <c r="F949" i="6"/>
  <c r="G949" i="6"/>
  <c r="E950" i="6"/>
  <c r="F950" i="6"/>
  <c r="G950" i="6"/>
  <c r="E951" i="6"/>
  <c r="F951" i="6"/>
  <c r="G951" i="6"/>
  <c r="E952" i="6"/>
  <c r="F952" i="6"/>
  <c r="G952" i="6"/>
  <c r="E953" i="6"/>
  <c r="F953" i="6"/>
  <c r="G953" i="6"/>
  <c r="E954" i="6"/>
  <c r="F954" i="6"/>
  <c r="G954" i="6"/>
  <c r="E955" i="6"/>
  <c r="F955" i="6"/>
  <c r="G955" i="6"/>
  <c r="E956" i="6"/>
  <c r="F956" i="6"/>
  <c r="G956" i="6"/>
  <c r="E957" i="6"/>
  <c r="F957" i="6"/>
  <c r="G957" i="6"/>
  <c r="E958" i="6"/>
  <c r="F958" i="6"/>
  <c r="G958" i="6"/>
  <c r="E959" i="6"/>
  <c r="F959" i="6"/>
  <c r="G959" i="6"/>
  <c r="E960" i="6"/>
  <c r="F960" i="6"/>
  <c r="G960" i="6"/>
  <c r="E961" i="6"/>
  <c r="F961" i="6"/>
  <c r="G961" i="6"/>
  <c r="E962" i="6"/>
  <c r="F962" i="6"/>
  <c r="G962" i="6"/>
  <c r="E963" i="6"/>
  <c r="F963" i="6"/>
  <c r="G963" i="6"/>
  <c r="E964" i="6"/>
  <c r="F964" i="6"/>
  <c r="G964" i="6"/>
  <c r="E965" i="6"/>
  <c r="F965" i="6"/>
  <c r="G965" i="6"/>
  <c r="E966" i="6"/>
  <c r="F966" i="6"/>
  <c r="G966" i="6"/>
  <c r="E967" i="6"/>
  <c r="F967" i="6"/>
  <c r="G967" i="6"/>
  <c r="E968" i="6"/>
  <c r="F968" i="6"/>
  <c r="G968" i="6"/>
  <c r="E969" i="6"/>
  <c r="F969" i="6"/>
  <c r="G969" i="6"/>
  <c r="E970" i="6"/>
  <c r="F970" i="6"/>
  <c r="G970" i="6"/>
  <c r="E971" i="6"/>
  <c r="F971" i="6"/>
  <c r="G971" i="6"/>
  <c r="E972" i="6"/>
  <c r="F972" i="6"/>
  <c r="G972" i="6"/>
  <c r="E973" i="6"/>
  <c r="F973" i="6"/>
  <c r="G973" i="6"/>
  <c r="E974" i="6"/>
  <c r="F974" i="6"/>
  <c r="G974" i="6"/>
  <c r="E975" i="6"/>
  <c r="F975" i="6"/>
  <c r="G975" i="6"/>
  <c r="E976" i="6"/>
  <c r="F976" i="6"/>
  <c r="G976" i="6"/>
  <c r="E977" i="6"/>
  <c r="F977" i="6"/>
  <c r="G977" i="6"/>
  <c r="E978" i="6"/>
  <c r="F978" i="6"/>
  <c r="G978" i="6"/>
  <c r="E979" i="6"/>
  <c r="F979" i="6"/>
  <c r="G979" i="6"/>
  <c r="E980" i="6"/>
  <c r="F980" i="6"/>
  <c r="G980" i="6"/>
  <c r="E981" i="6"/>
  <c r="F981" i="6"/>
  <c r="G981" i="6"/>
  <c r="E982" i="6"/>
  <c r="F982" i="6"/>
  <c r="G982" i="6"/>
  <c r="E983" i="6"/>
  <c r="F983" i="6"/>
  <c r="G983" i="6"/>
  <c r="E984" i="6"/>
  <c r="F984" i="6"/>
  <c r="G984" i="6"/>
  <c r="E985" i="6"/>
  <c r="F985" i="6"/>
  <c r="G985" i="6"/>
  <c r="E986" i="6"/>
  <c r="F986" i="6"/>
  <c r="G986" i="6"/>
  <c r="E987" i="6"/>
  <c r="F987" i="6"/>
  <c r="G987" i="6"/>
  <c r="E988" i="6"/>
  <c r="F988" i="6"/>
  <c r="G988" i="6"/>
  <c r="E989" i="6"/>
  <c r="F989" i="6"/>
  <c r="G989" i="6"/>
  <c r="E990" i="6"/>
  <c r="F990" i="6"/>
  <c r="G990" i="6"/>
  <c r="E991" i="6"/>
  <c r="F991" i="6"/>
  <c r="G991" i="6"/>
  <c r="E992" i="6"/>
  <c r="F992" i="6"/>
  <c r="G992" i="6"/>
  <c r="E993" i="6"/>
  <c r="F993" i="6"/>
  <c r="G993" i="6"/>
  <c r="E994" i="6"/>
  <c r="F994" i="6"/>
  <c r="G994" i="6"/>
  <c r="E995" i="6"/>
  <c r="F995" i="6"/>
  <c r="G995" i="6"/>
  <c r="E996" i="6"/>
  <c r="F996" i="6"/>
  <c r="G996" i="6"/>
  <c r="E997" i="6"/>
  <c r="F997" i="6"/>
  <c r="G997" i="6"/>
  <c r="E998" i="6"/>
  <c r="F998" i="6"/>
  <c r="G998" i="6"/>
  <c r="E999" i="6"/>
  <c r="F999" i="6"/>
  <c r="G999" i="6"/>
  <c r="E1000" i="6"/>
  <c r="F1000" i="6"/>
  <c r="G1000" i="6"/>
  <c r="E1001" i="6"/>
  <c r="F1001" i="6"/>
  <c r="G1001" i="6"/>
  <c r="E1002" i="6"/>
  <c r="F1002" i="6"/>
  <c r="G1002" i="6"/>
  <c r="E1003" i="6"/>
  <c r="F1003" i="6"/>
  <c r="G1003" i="6"/>
  <c r="E1004" i="6"/>
  <c r="F1004" i="6"/>
  <c r="G1004" i="6"/>
  <c r="E1005" i="6"/>
  <c r="F1005" i="6"/>
  <c r="G1005" i="6"/>
  <c r="E5" i="6"/>
  <c r="F5" i="6"/>
  <c r="G5" i="6"/>
  <c r="E6" i="6"/>
  <c r="F6" i="6"/>
  <c r="G6" i="6"/>
  <c r="E7" i="6"/>
  <c r="F7" i="6"/>
  <c r="G7" i="6"/>
  <c r="E8" i="6"/>
  <c r="F8" i="6"/>
  <c r="G8" i="6"/>
  <c r="E9" i="6"/>
  <c r="F9" i="6"/>
  <c r="G9" i="6"/>
  <c r="E10" i="6"/>
  <c r="F10" i="6"/>
  <c r="G10" i="6"/>
  <c r="E11" i="6"/>
  <c r="F11" i="6"/>
  <c r="G11" i="6"/>
  <c r="E12" i="6"/>
  <c r="F12" i="6"/>
  <c r="G12" i="6"/>
  <c r="E13" i="6"/>
  <c r="F13" i="6"/>
  <c r="G13" i="6"/>
  <c r="E4" i="6"/>
  <c r="G4" i="6"/>
  <c r="F4" i="6"/>
  <c r="D1" i="6"/>
  <c r="A1" i="6"/>
  <c r="E5" i="5"/>
  <c r="E6" i="5"/>
  <c r="E7" i="5"/>
  <c r="E4" i="5"/>
  <c r="G5" i="5"/>
  <c r="G6" i="5"/>
  <c r="G7" i="5"/>
  <c r="G5" i="4"/>
  <c r="G6" i="4"/>
  <c r="G7" i="4"/>
  <c r="G8" i="4"/>
  <c r="G9" i="4"/>
  <c r="G10" i="4"/>
  <c r="F5" i="4"/>
  <c r="F6" i="4"/>
  <c r="F7" i="4"/>
  <c r="F8" i="4"/>
  <c r="F9" i="4"/>
  <c r="F10" i="4"/>
  <c r="F7" i="5"/>
  <c r="F6" i="5"/>
  <c r="F5" i="5"/>
  <c r="G4" i="5"/>
  <c r="F4" i="5"/>
  <c r="D1" i="5"/>
  <c r="A1" i="5"/>
  <c r="E5" i="4"/>
  <c r="E6" i="4"/>
  <c r="E7" i="4"/>
  <c r="E8" i="4"/>
  <c r="E9" i="4"/>
  <c r="E10" i="4"/>
  <c r="E4" i="4"/>
  <c r="G4" i="4"/>
  <c r="F4" i="4"/>
  <c r="D1" i="4"/>
  <c r="A1" i="4"/>
  <c r="E5" i="1"/>
  <c r="E4" i="1"/>
  <c r="D1" i="1"/>
  <c r="A1" i="1"/>
  <c r="G5" i="1"/>
  <c r="F5" i="1"/>
  <c r="G4" i="1"/>
  <c r="F4" i="1"/>
  <c r="J6" i="15" l="1"/>
  <c r="J4" i="15"/>
  <c r="K4" i="15"/>
</calcChain>
</file>

<file path=xl/sharedStrings.xml><?xml version="1.0" encoding="utf-8"?>
<sst xmlns="http://schemas.openxmlformats.org/spreadsheetml/2006/main" count="6658" uniqueCount="4252">
  <si>
    <t>[MAP].[T_TRANS_BASEACCT]</t>
  </si>
  <si>
    <t>sampl</t>
  </si>
  <si>
    <t>hide/show</t>
  </si>
  <si>
    <t>1000</t>
  </si>
  <si>
    <t>Cash - Petty Cash</t>
  </si>
  <si>
    <t>1005</t>
  </si>
  <si>
    <t>Cash - Fidelity Operations</t>
  </si>
  <si>
    <t>Data Folder ID</t>
  </si>
  <si>
    <t>Legacy ERP:</t>
  </si>
  <si>
    <t>New ERP:</t>
  </si>
  <si>
    <t>Sage 300 CRE</t>
  </si>
  <si>
    <t>Sage Intacct</t>
  </si>
  <si>
    <t>Change</t>
  </si>
  <si>
    <t>GL Account</t>
  </si>
  <si>
    <t>Location</t>
  </si>
  <si>
    <t>Location Description</t>
  </si>
  <si>
    <t>1-00</t>
  </si>
  <si>
    <t>1-88</t>
  </si>
  <si>
    <t>1-20</t>
  </si>
  <si>
    <t>1-25</t>
  </si>
  <si>
    <t>1-10</t>
  </si>
  <si>
    <t>1-15</t>
  </si>
  <si>
    <t>1-99</t>
  </si>
  <si>
    <t>E010</t>
  </si>
  <si>
    <t>CO</t>
  </si>
  <si>
    <t>NJ</t>
  </si>
  <si>
    <t>OT</t>
  </si>
  <si>
    <t>PA</t>
  </si>
  <si>
    <t>WV</t>
  </si>
  <si>
    <t>1-00 LRC Balance Sheet</t>
  </si>
  <si>
    <t>1-88 Corporate</t>
  </si>
  <si>
    <t>1-20 New Jersey</t>
  </si>
  <si>
    <t>1-25 Other</t>
  </si>
  <si>
    <t>1-10 Pennsylvania</t>
  </si>
  <si>
    <t>1-15 West Virginia</t>
  </si>
  <si>
    <t>1-99 SUSPENSE</t>
  </si>
  <si>
    <t>[MAP].[T_TRANS_LOCATION]</t>
  </si>
  <si>
    <t>Department</t>
  </si>
  <si>
    <t>[MAP].[T_TRANS_DEPARTMENT]</t>
  </si>
  <si>
    <t>Vendor</t>
  </si>
  <si>
    <t>[MAP].[T_TRANS_VENDOR]</t>
  </si>
  <si>
    <t>330MONTAGE</t>
  </si>
  <si>
    <t>84LUMBER</t>
  </si>
  <si>
    <t>A&amp;AAUTOP</t>
  </si>
  <si>
    <t>A&amp;BDOORI</t>
  </si>
  <si>
    <t>ABBINC</t>
  </si>
  <si>
    <t>ABCSUPPL</t>
  </si>
  <si>
    <t>ACCORDAN</t>
  </si>
  <si>
    <t>acculock</t>
  </si>
  <si>
    <t>ACOUSTIC</t>
  </si>
  <si>
    <t>ACSI0000</t>
  </si>
  <si>
    <t>ACTADAMS</t>
  </si>
  <si>
    <t>ACTIONLI</t>
  </si>
  <si>
    <t>ADAMSGLASS</t>
  </si>
  <si>
    <t>ADELPHIA</t>
  </si>
  <si>
    <t>ADMARSUP</t>
  </si>
  <si>
    <t>ADVCLENG</t>
  </si>
  <si>
    <t>ADVINDUS</t>
  </si>
  <si>
    <t>ADVNCCUT</t>
  </si>
  <si>
    <t>AESCLEAN</t>
  </si>
  <si>
    <t>AGILEPREM</t>
  </si>
  <si>
    <t>AIAALERA</t>
  </si>
  <si>
    <t>AIRBALAN</t>
  </si>
  <si>
    <t>AIRGAS</t>
  </si>
  <si>
    <t>AIRLINELO</t>
  </si>
  <si>
    <t>AIRPORTS</t>
  </si>
  <si>
    <t>AJHENRYL</t>
  </si>
  <si>
    <t>AJIMCO</t>
  </si>
  <si>
    <t>ALANN</t>
  </si>
  <si>
    <t>ALANTYE</t>
  </si>
  <si>
    <t>ALANWYCH</t>
  </si>
  <si>
    <t>ALICON</t>
  </si>
  <si>
    <t>ALLAMERI</t>
  </si>
  <si>
    <t>ALLGUTTE</t>
  </si>
  <si>
    <t>ALLIANCE</t>
  </si>
  <si>
    <t>ALLONECH</t>
  </si>
  <si>
    <t>ALLSEPTI</t>
  </si>
  <si>
    <t>ALPHAOME</t>
  </si>
  <si>
    <t>ALPINEBU</t>
  </si>
  <si>
    <t>AMECONCR</t>
  </si>
  <si>
    <t>AMEEXPRE</t>
  </si>
  <si>
    <t>AMERICPA</t>
  </si>
  <si>
    <t>AMERPROD</t>
  </si>
  <si>
    <t>ANDREWBI</t>
  </si>
  <si>
    <t>ANDRUSBA</t>
  </si>
  <si>
    <t>ANTHONY</t>
  </si>
  <si>
    <t>ANTONIO</t>
  </si>
  <si>
    <t>APOLLOGR</t>
  </si>
  <si>
    <t>APPLIEDV</t>
  </si>
  <si>
    <t>APPLTION</t>
  </si>
  <si>
    <t>APPTECHS</t>
  </si>
  <si>
    <t>APTDISTR</t>
  </si>
  <si>
    <t>ARBONEQUIP</t>
  </si>
  <si>
    <t>ARC</t>
  </si>
  <si>
    <t>ARCHAEA</t>
  </si>
  <si>
    <t>ARCHBUIL</t>
  </si>
  <si>
    <t>ARCHLOUV</t>
  </si>
  <si>
    <t>ARCHSHET</t>
  </si>
  <si>
    <t>ARCHSTON</t>
  </si>
  <si>
    <t>ARCHWIND</t>
  </si>
  <si>
    <t>ARENAMAI</t>
  </si>
  <si>
    <t>ARLEYWHO</t>
  </si>
  <si>
    <t>ARMGROUP</t>
  </si>
  <si>
    <t>ARORAENG</t>
  </si>
  <si>
    <t>ARTEX</t>
  </si>
  <si>
    <t>ARTISAND</t>
  </si>
  <si>
    <t>ASIDOORS</t>
  </si>
  <si>
    <t>ASMENVIR</t>
  </si>
  <si>
    <t>ATLANTEC</t>
  </si>
  <si>
    <t>ATLASGRO</t>
  </si>
  <si>
    <t>AUGUMACK</t>
  </si>
  <si>
    <t>AUSTINMO</t>
  </si>
  <si>
    <t>AUTOMATED</t>
  </si>
  <si>
    <t>AUTOMATI</t>
  </si>
  <si>
    <t>AUTOTECH</t>
  </si>
  <si>
    <t>AVERDI</t>
  </si>
  <si>
    <t>AWCCONTR</t>
  </si>
  <si>
    <t>BADGERDAYL</t>
  </si>
  <si>
    <t>BAILEY</t>
  </si>
  <si>
    <t>BALCOINC</t>
  </si>
  <si>
    <t>BARKPAVE</t>
  </si>
  <si>
    <t>BARRETTS</t>
  </si>
  <si>
    <t>BARRYISETT</t>
  </si>
  <si>
    <t>BASELINE</t>
  </si>
  <si>
    <t>BASILE00</t>
  </si>
  <si>
    <t>BASSLERE</t>
  </si>
  <si>
    <t>BAUTSTUD</t>
  </si>
  <si>
    <t>BAYSHORE</t>
  </si>
  <si>
    <t>BBLIGHTG</t>
  </si>
  <si>
    <t>BCSUPPLY</t>
  </si>
  <si>
    <t>BEACHLAK</t>
  </si>
  <si>
    <t>BEACONBU</t>
  </si>
  <si>
    <t>BEAVERVA</t>
  </si>
  <si>
    <t>BEIELECT</t>
  </si>
  <si>
    <t>BELLMTLA</t>
  </si>
  <si>
    <t>BENCARDI</t>
  </si>
  <si>
    <t>BENDRUCKD</t>
  </si>
  <si>
    <t>BENTCOLL</t>
  </si>
  <si>
    <t>BERKELCO</t>
  </si>
  <si>
    <t>BERKELEY</t>
  </si>
  <si>
    <t>BERNINTE</t>
  </si>
  <si>
    <t>BETHALLE</t>
  </si>
  <si>
    <t>BETTYMIL</t>
  </si>
  <si>
    <t>BIANCA</t>
  </si>
  <si>
    <t>BIDDINGE</t>
  </si>
  <si>
    <t>BILLBARRY</t>
  </si>
  <si>
    <t>BIROSUTI</t>
  </si>
  <si>
    <t>BLAIRPAR</t>
  </si>
  <si>
    <t>BLUERIDL</t>
  </si>
  <si>
    <t>BMCOFFIC</t>
  </si>
  <si>
    <t>BORLIEMECH</t>
  </si>
  <si>
    <t>BOROARCH</t>
  </si>
  <si>
    <t>BOROMOOSIC</t>
  </si>
  <si>
    <t>BORTONLA</t>
  </si>
  <si>
    <t>BOWERINC</t>
  </si>
  <si>
    <t>BOYSGIRL</t>
  </si>
  <si>
    <t>BRENNANE</t>
  </si>
  <si>
    <t>BRICKS&amp;STO</t>
  </si>
  <si>
    <t>BROCKASS</t>
  </si>
  <si>
    <t>BROJACKL</t>
  </si>
  <si>
    <t>BROWNDAUB</t>
  </si>
  <si>
    <t>BRUCELLI</t>
  </si>
  <si>
    <t>BRUNSONI</t>
  </si>
  <si>
    <t>BUDGETMA</t>
  </si>
  <si>
    <t>BUFFALOA</t>
  </si>
  <si>
    <t>BUILDFIR</t>
  </si>
  <si>
    <t>BUILDOOR</t>
  </si>
  <si>
    <t>BUILDPOINT</t>
  </si>
  <si>
    <t>BUILSUPP</t>
  </si>
  <si>
    <t>BULLDOGM</t>
  </si>
  <si>
    <t>BURANICH</t>
  </si>
  <si>
    <t>BUREAUVE</t>
  </si>
  <si>
    <t>BURKETRU</t>
  </si>
  <si>
    <t>BUSBUILD</t>
  </si>
  <si>
    <t>BUTTONWO</t>
  </si>
  <si>
    <t>BUTZENTE</t>
  </si>
  <si>
    <t>CALVIN</t>
  </si>
  <si>
    <t>CAPBUILD</t>
  </si>
  <si>
    <t>CAPITALONE</t>
  </si>
  <si>
    <t>CAREOFTR</t>
  </si>
  <si>
    <t>CARETTII</t>
  </si>
  <si>
    <t>CARPBENE</t>
  </si>
  <si>
    <t>CARTERLUM</t>
  </si>
  <si>
    <t>CASCADEM</t>
  </si>
  <si>
    <t>CATAGNUS</t>
  </si>
  <si>
    <t>CAVANAUGH</t>
  </si>
  <si>
    <t>CCMCONTR</t>
  </si>
  <si>
    <t>CDWATERP</t>
  </si>
  <si>
    <t>CELTICCA</t>
  </si>
  <si>
    <t>CEMEDUES</t>
  </si>
  <si>
    <t>CENTRALC</t>
  </si>
  <si>
    <t>CERTIFIE</t>
  </si>
  <si>
    <t>CFISALES</t>
  </si>
  <si>
    <t>CHAMPION</t>
  </si>
  <si>
    <t>CHAPINGO</t>
  </si>
  <si>
    <t>CHAPMANS</t>
  </si>
  <si>
    <t>CHASEBANK</t>
  </si>
  <si>
    <t>CHEMDRYN</t>
  </si>
  <si>
    <t>CHESCOCO</t>
  </si>
  <si>
    <t>CHIMCHAR</t>
  </si>
  <si>
    <t>CHRISMUS</t>
  </si>
  <si>
    <t>CHRISTIAN</t>
  </si>
  <si>
    <t>CHUBBGR</t>
  </si>
  <si>
    <t>CITYALLE</t>
  </si>
  <si>
    <t>CITYBETH</t>
  </si>
  <si>
    <t>CITYHAZLET</t>
  </si>
  <si>
    <t>CITYOFWB</t>
  </si>
  <si>
    <t>CITYRANSON</t>
  </si>
  <si>
    <t>CITYSCRA</t>
  </si>
  <si>
    <t>CJMPAINT</t>
  </si>
  <si>
    <t>CLASSFIR</t>
  </si>
  <si>
    <t>CLEANTECH</t>
  </si>
  <si>
    <t>CLEVBROS</t>
  </si>
  <si>
    <t>COHENSEG</t>
  </si>
  <si>
    <t>COLECONS</t>
  </si>
  <si>
    <t>COLLECTO</t>
  </si>
  <si>
    <t>COLLINSO</t>
  </si>
  <si>
    <t>COLONYHA</t>
  </si>
  <si>
    <t>COLOURS3</t>
  </si>
  <si>
    <t>COLUMEXC</t>
  </si>
  <si>
    <t>COLUMLOC</t>
  </si>
  <si>
    <t>COMCAST</t>
  </si>
  <si>
    <t>COMMBURE</t>
  </si>
  <si>
    <t>COMPLAWN</t>
  </si>
  <si>
    <t>CONCCUTT</t>
  </si>
  <si>
    <t>CONCFORM</t>
  </si>
  <si>
    <t>CONCTEXT</t>
  </si>
  <si>
    <t>CONCWASH</t>
  </si>
  <si>
    <t>CONDRONS</t>
  </si>
  <si>
    <t>CONMATGR</t>
  </si>
  <si>
    <t>CONTEPAV</t>
  </si>
  <si>
    <t>CONTEXTURE</t>
  </si>
  <si>
    <t>CONVERCO</t>
  </si>
  <si>
    <t>COOLBAUGH</t>
  </si>
  <si>
    <t>COONINDU</t>
  </si>
  <si>
    <t>COOPELEC</t>
  </si>
  <si>
    <t>COOPER</t>
  </si>
  <si>
    <t>COPYFAX</t>
  </si>
  <si>
    <t>CORADOS</t>
  </si>
  <si>
    <t>COSGROVE</t>
  </si>
  <si>
    <t>COSTDUMP</t>
  </si>
  <si>
    <t>COUNTRYSID</t>
  </si>
  <si>
    <t>CPRANKIN</t>
  </si>
  <si>
    <t>CRESTFLO</t>
  </si>
  <si>
    <t>CROWLEY0</t>
  </si>
  <si>
    <t>CRYOASSO</t>
  </si>
  <si>
    <t>CRYSCLEA</t>
  </si>
  <si>
    <t>CTCORPOR</t>
  </si>
  <si>
    <t>CURECRET</t>
  </si>
  <si>
    <t>CUSTEXT</t>
  </si>
  <si>
    <t>CZACHOR</t>
  </si>
  <si>
    <t>D&amp;LWELDI</t>
  </si>
  <si>
    <t>D&amp;MCONST</t>
  </si>
  <si>
    <t>DABLACK</t>
  </si>
  <si>
    <t>DANBERCO</t>
  </si>
  <si>
    <t>DANCHECK</t>
  </si>
  <si>
    <t>DANGUINT</t>
  </si>
  <si>
    <t>DANNYPOR</t>
  </si>
  <si>
    <t>DANTEGUZ</t>
  </si>
  <si>
    <t>DATOMPRO</t>
  </si>
  <si>
    <t>DAVIDROU</t>
  </si>
  <si>
    <t>DEIHLVAU</t>
  </si>
  <si>
    <t>DELTACONT</t>
  </si>
  <si>
    <t>DEMORSON</t>
  </si>
  <si>
    <t>DEMPSEYU</t>
  </si>
  <si>
    <t>DERMANAS</t>
  </si>
  <si>
    <t>DESAVINO</t>
  </si>
  <si>
    <t>DESMGTGR</t>
  </si>
  <si>
    <t>DHGRIFFIN</t>
  </si>
  <si>
    <t>DIGITALB</t>
  </si>
  <si>
    <t>DIRLAMBR</t>
  </si>
  <si>
    <t>DISAGLOB</t>
  </si>
  <si>
    <t>DISASTER</t>
  </si>
  <si>
    <t>DIVERSIF</t>
  </si>
  <si>
    <t>DJMCADCS</t>
  </si>
  <si>
    <t>DKSVIRTU</t>
  </si>
  <si>
    <t>DLCOUCH</t>
  </si>
  <si>
    <t>DLKROPF</t>
  </si>
  <si>
    <t>DLMORGAN</t>
  </si>
  <si>
    <t>DMIMETALS</t>
  </si>
  <si>
    <t>DOCKDOOR</t>
  </si>
  <si>
    <t>DODGECON</t>
  </si>
  <si>
    <t>DODGEDAT</t>
  </si>
  <si>
    <t>DOUGEXPL</t>
  </si>
  <si>
    <t>DRAPEMAS</t>
  </si>
  <si>
    <t>DRCACQ</t>
  </si>
  <si>
    <t>DRIVEKOR</t>
  </si>
  <si>
    <t>DUGGANAN</t>
  </si>
  <si>
    <t>DUNLUMBE</t>
  </si>
  <si>
    <t>DUNROOFI</t>
  </si>
  <si>
    <t>DXDEMPSE</t>
  </si>
  <si>
    <t>E&amp;RROOF0</t>
  </si>
  <si>
    <t>EARTHCAM</t>
  </si>
  <si>
    <t>EARTHENG</t>
  </si>
  <si>
    <t>EASCBF</t>
  </si>
  <si>
    <t>EASTCOAS</t>
  </si>
  <si>
    <t>EASTELEC</t>
  </si>
  <si>
    <t>EASTENDA</t>
  </si>
  <si>
    <t>EASTERNLIF</t>
  </si>
  <si>
    <t>EASTMILL</t>
  </si>
  <si>
    <t>EASTPALPL</t>
  </si>
  <si>
    <t>EASTPENN</t>
  </si>
  <si>
    <t>EASTROOF</t>
  </si>
  <si>
    <t>EASTSTEEL</t>
  </si>
  <si>
    <t>ECLIPSEC</t>
  </si>
  <si>
    <t>ECOLLECT</t>
  </si>
  <si>
    <t>ECOLLECTPA</t>
  </si>
  <si>
    <t>ECSMIDAT</t>
  </si>
  <si>
    <t>EDDIEEXC</t>
  </si>
  <si>
    <t>EDWARDSC</t>
  </si>
  <si>
    <t>EDWSMECH</t>
  </si>
  <si>
    <t>EFCOCORP</t>
  </si>
  <si>
    <t>EHRLICH</t>
  </si>
  <si>
    <t>ELANFINA</t>
  </si>
  <si>
    <t>ELCMANUF</t>
  </si>
  <si>
    <t>ELECTRON</t>
  </si>
  <si>
    <t>ELEMENTS</t>
  </si>
  <si>
    <t>ELITEMECH</t>
  </si>
  <si>
    <t>ELITESTO</t>
  </si>
  <si>
    <t>EMHCONTRAC</t>
  </si>
  <si>
    <t>ENDLERAR</t>
  </si>
  <si>
    <t>ENG-BIM0</t>
  </si>
  <si>
    <t>ENGIBUIL</t>
  </si>
  <si>
    <t>ENGLECON</t>
  </si>
  <si>
    <t>ENVIROSC</t>
  </si>
  <si>
    <t>ENVISERV</t>
  </si>
  <si>
    <t>EPSCO</t>
  </si>
  <si>
    <t>ERIEMATE</t>
  </si>
  <si>
    <t>ESHBACH</t>
  </si>
  <si>
    <t>ESPCONCR</t>
  </si>
  <si>
    <t>EUREKAGL</t>
  </si>
  <si>
    <t>EVCOTREE</t>
  </si>
  <si>
    <t>EVERVUE</t>
  </si>
  <si>
    <t>EXECUTIV</t>
  </si>
  <si>
    <t>F&amp;LDOORS</t>
  </si>
  <si>
    <t>FABCONPR</t>
  </si>
  <si>
    <t>FABCORIN</t>
  </si>
  <si>
    <t>FAIRBORN</t>
  </si>
  <si>
    <t>FALCONOI</t>
  </si>
  <si>
    <t>FANCYPAR</t>
  </si>
  <si>
    <t>FARNHAMA</t>
  </si>
  <si>
    <t>FASTENAL</t>
  </si>
  <si>
    <t>FASTSIGN</t>
  </si>
  <si>
    <t>FASTSIVA</t>
  </si>
  <si>
    <t>FEDERAL</t>
  </si>
  <si>
    <t>FEDERALE</t>
  </si>
  <si>
    <t>FEHLINGR</t>
  </si>
  <si>
    <t>FERGUSON</t>
  </si>
  <si>
    <t>FERGWATE</t>
  </si>
  <si>
    <t>FEROCORP</t>
  </si>
  <si>
    <t>FETCHENS</t>
  </si>
  <si>
    <t>FINISHIN</t>
  </si>
  <si>
    <t>FIRSTCHO</t>
  </si>
  <si>
    <t>FIRSTPEN</t>
  </si>
  <si>
    <t>FISHERLU</t>
  </si>
  <si>
    <t>FIVESTAR</t>
  </si>
  <si>
    <t>FLAMEOFF</t>
  </si>
  <si>
    <t>FLEETPRI</t>
  </si>
  <si>
    <t>FLEMINGT</t>
  </si>
  <si>
    <t>FLOORCOA</t>
  </si>
  <si>
    <t>FLORLINE</t>
  </si>
  <si>
    <t>FMICORP</t>
  </si>
  <si>
    <t>FORMSFUL</t>
  </si>
  <si>
    <t>FORRESTR</t>
  </si>
  <si>
    <t>FOUNDATE</t>
  </si>
  <si>
    <t>FOURWIND</t>
  </si>
  <si>
    <t>FRBEINKE</t>
  </si>
  <si>
    <t>FRCCOMPA</t>
  </si>
  <si>
    <t>FREESTATE</t>
  </si>
  <si>
    <t>FRONTIER</t>
  </si>
  <si>
    <t>FSINDUST</t>
  </si>
  <si>
    <t>FULMERS</t>
  </si>
  <si>
    <t>G&amp;SCONTA</t>
  </si>
  <si>
    <t>GAICONSU</t>
  </si>
  <si>
    <t>GALDIERI</t>
  </si>
  <si>
    <t>GARYAUTO</t>
  </si>
  <si>
    <t>GATTIMOR</t>
  </si>
  <si>
    <t>GAUDELLI</t>
  </si>
  <si>
    <t>GCELECTRIC</t>
  </si>
  <si>
    <t>GCFIREPR</t>
  </si>
  <si>
    <t>GEISING0</t>
  </si>
  <si>
    <t>GEISINGERF</t>
  </si>
  <si>
    <t>GEMGROUP</t>
  </si>
  <si>
    <t>GENFARE</t>
  </si>
  <si>
    <t>GENFLEXR</t>
  </si>
  <si>
    <t>GENSTEEL</t>
  </si>
  <si>
    <t>GEORGETI</t>
  </si>
  <si>
    <t>GEOSCIEN</t>
  </si>
  <si>
    <t>GERDAUAM</t>
  </si>
  <si>
    <t>GIANTFLO</t>
  </si>
  <si>
    <t>GILBOY</t>
  </si>
  <si>
    <t>GLECOPAI</t>
  </si>
  <si>
    <t>GLENOAKC</t>
  </si>
  <si>
    <t>GLENSUMM</t>
  </si>
  <si>
    <t>GOLDINST</t>
  </si>
  <si>
    <t>GOODSTREES</t>
  </si>
  <si>
    <t>GOTTAGOP</t>
  </si>
  <si>
    <t>GRACIE</t>
  </si>
  <si>
    <t>GRAHAMAR</t>
  </si>
  <si>
    <t>GRAINGER</t>
  </si>
  <si>
    <t>GRANDREN</t>
  </si>
  <si>
    <t>GREATSCR</t>
  </si>
  <si>
    <t>GREENMAN</t>
  </si>
  <si>
    <t>GREGSTAHL</t>
  </si>
  <si>
    <t>GROUNDPE</t>
  </si>
  <si>
    <t>GUARDIAN</t>
  </si>
  <si>
    <t>GUMANWEL</t>
  </si>
  <si>
    <t>GUNITESP</t>
  </si>
  <si>
    <t>H&amp;NLANDS</t>
  </si>
  <si>
    <t>HABPPT</t>
  </si>
  <si>
    <t>HAFEREQ</t>
  </si>
  <si>
    <t>HAFNER&amp;S</t>
  </si>
  <si>
    <t>HAINKIBB</t>
  </si>
  <si>
    <t>HALETRAIL</t>
  </si>
  <si>
    <t>Hanovertwp</t>
  </si>
  <si>
    <t>HANSONAG</t>
  </si>
  <si>
    <t>HARLAN</t>
  </si>
  <si>
    <t>HARRINGT</t>
  </si>
  <si>
    <t>HARRISRE</t>
  </si>
  <si>
    <t>HAUNWELD</t>
  </si>
  <si>
    <t>HAZQUARR</t>
  </si>
  <si>
    <t>HAZTEKIN</t>
  </si>
  <si>
    <t>HBFRAZER</t>
  </si>
  <si>
    <t>HCHOODCO</t>
  </si>
  <si>
    <t>HCQUALITY</t>
  </si>
  <si>
    <t>HEALTHWE</t>
  </si>
  <si>
    <t>HEAVYHIG</t>
  </si>
  <si>
    <t>HEISTON</t>
  </si>
  <si>
    <t>HEIWINDO</t>
  </si>
  <si>
    <t>HENRYFRA</t>
  </si>
  <si>
    <t>HERCBOLT</t>
  </si>
  <si>
    <t>HERREBRO</t>
  </si>
  <si>
    <t>HERREXCA</t>
  </si>
  <si>
    <t>HERRONLU</t>
  </si>
  <si>
    <t>HERRSIGN</t>
  </si>
  <si>
    <t>HERSHOCK</t>
  </si>
  <si>
    <t>HESSINC</t>
  </si>
  <si>
    <t>HIGHMARK</t>
  </si>
  <si>
    <t>HIGHMOUN</t>
  </si>
  <si>
    <t>HIGHTANK</t>
  </si>
  <si>
    <t>HILLTOPQ</t>
  </si>
  <si>
    <t>HILTIINC</t>
  </si>
  <si>
    <t>HITECH</t>
  </si>
  <si>
    <t>HOLTLUMB</t>
  </si>
  <si>
    <t>HOMESTEA</t>
  </si>
  <si>
    <t>HOPSONSP</t>
  </si>
  <si>
    <t>HOSTETTE</t>
  </si>
  <si>
    <t>Houck</t>
  </si>
  <si>
    <t>HRRG</t>
  </si>
  <si>
    <t>HUDAKWAT</t>
  </si>
  <si>
    <t>HUGHESNE</t>
  </si>
  <si>
    <t>HUNLGROU</t>
  </si>
  <si>
    <t>HUNTENGI</t>
  </si>
  <si>
    <t>ICONINC</t>
  </si>
  <si>
    <t>IDEALSHI</t>
  </si>
  <si>
    <t>IMPERIAL</t>
  </si>
  <si>
    <t>INDEPENI</t>
  </si>
  <si>
    <t>INNECITY</t>
  </si>
  <si>
    <t>INPRO000</t>
  </si>
  <si>
    <t>INTEGRAL</t>
  </si>
  <si>
    <t>INTERROA</t>
  </si>
  <si>
    <t>INTESAFE</t>
  </si>
  <si>
    <t>ISNSOFTW</t>
  </si>
  <si>
    <t>J&amp;ESHEET</t>
  </si>
  <si>
    <t>J&amp;RTRANS</t>
  </si>
  <si>
    <t>J&amp;ZPROFE</t>
  </si>
  <si>
    <t>JAEELITE</t>
  </si>
  <si>
    <t>JAWORSKI</t>
  </si>
  <si>
    <t>JCHMETAL</t>
  </si>
  <si>
    <t>JDAVIDAL</t>
  </si>
  <si>
    <t>JDYLANCO</t>
  </si>
  <si>
    <t>JERONIMO</t>
  </si>
  <si>
    <t>JERRYCOY</t>
  </si>
  <si>
    <t>JESSEGSN</t>
  </si>
  <si>
    <t>JOHN RING</t>
  </si>
  <si>
    <t>JOHNCOLL</t>
  </si>
  <si>
    <t>JOHNCONT</t>
  </si>
  <si>
    <t>JONES&amp;SO</t>
  </si>
  <si>
    <t>JORDANSFL</t>
  </si>
  <si>
    <t>JORDANTO</t>
  </si>
  <si>
    <t>JOYCEELE</t>
  </si>
  <si>
    <t>JUDGELUM</t>
  </si>
  <si>
    <t>JVIGROUP</t>
  </si>
  <si>
    <t>JWICONST</t>
  </si>
  <si>
    <t>KANUIKOI</t>
  </si>
  <si>
    <t>KELLEYBR</t>
  </si>
  <si>
    <t>KELLYSCO</t>
  </si>
  <si>
    <t>KEVINWOR</t>
  </si>
  <si>
    <t>KEYAUTOD</t>
  </si>
  <si>
    <t>KEYBLOCK</t>
  </si>
  <si>
    <t>KEYCONTA</t>
  </si>
  <si>
    <t>KEYPRECI</t>
  </si>
  <si>
    <t>KEYPROPA</t>
  </si>
  <si>
    <t>KEYSCUTT</t>
  </si>
  <si>
    <t>KEYSFABR</t>
  </si>
  <si>
    <t>KEYSTATE</t>
  </si>
  <si>
    <t>KEYSTONE</t>
  </si>
  <si>
    <t>KEYTRUCK</t>
  </si>
  <si>
    <t>KINGCONC</t>
  </si>
  <si>
    <t>KINGSPAN</t>
  </si>
  <si>
    <t>KIRKMAN</t>
  </si>
  <si>
    <t>KLECONST</t>
  </si>
  <si>
    <t>KLOPPMAN</t>
  </si>
  <si>
    <t>KNOWLTON</t>
  </si>
  <si>
    <t>KOMSAND</t>
  </si>
  <si>
    <t>KONECRANE</t>
  </si>
  <si>
    <t>KOSTTIRE</t>
  </si>
  <si>
    <t>KRAUSCOM</t>
  </si>
  <si>
    <t>KREITZCO</t>
  </si>
  <si>
    <t>KRIGERCO</t>
  </si>
  <si>
    <t>KUECKER</t>
  </si>
  <si>
    <t>KUZANSHA</t>
  </si>
  <si>
    <t>KWIKBOND</t>
  </si>
  <si>
    <t>KWINSTAL</t>
  </si>
  <si>
    <t>L&amp;LCONST</t>
  </si>
  <si>
    <t>L&amp;WSUPPL</t>
  </si>
  <si>
    <t>LABDESIGN</t>
  </si>
  <si>
    <t>LABDI158</t>
  </si>
  <si>
    <t>LABELASS</t>
  </si>
  <si>
    <t>LABLOC58</t>
  </si>
  <si>
    <t>LABLOCBE</t>
  </si>
  <si>
    <t>LACKPRIN</t>
  </si>
  <si>
    <t>LAMINARFL</t>
  </si>
  <si>
    <t>LANESCRA</t>
  </si>
  <si>
    <t>LARSONLI</t>
  </si>
  <si>
    <t>LATCON</t>
  </si>
  <si>
    <t>LBCREDIT</t>
  </si>
  <si>
    <t>LCPTRACKER</t>
  </si>
  <si>
    <t>LEADCAR</t>
  </si>
  <si>
    <t>LEBERELE</t>
  </si>
  <si>
    <t>LEEELECT</t>
  </si>
  <si>
    <t>LEHSALES</t>
  </si>
  <si>
    <t>LEHSUPPL</t>
  </si>
  <si>
    <t>LEVELA00</t>
  </si>
  <si>
    <t>LEWISINC</t>
  </si>
  <si>
    <t>LEWISSTU</t>
  </si>
  <si>
    <t>LEZZERLU</t>
  </si>
  <si>
    <t>LIBEEXCA</t>
  </si>
  <si>
    <t>LIGCHINE</t>
  </si>
  <si>
    <t>LITTLEWA</t>
  </si>
  <si>
    <t>LIVENGOOD</t>
  </si>
  <si>
    <t>LONGSWEL</t>
  </si>
  <si>
    <t>LORTONST</t>
  </si>
  <si>
    <t>LPSINC00</t>
  </si>
  <si>
    <t>LRCOSTANZO</t>
  </si>
  <si>
    <t>LUDOWICI</t>
  </si>
  <si>
    <t>LVINDUSTRI</t>
  </si>
  <si>
    <t>LVPGPOCO</t>
  </si>
  <si>
    <t>LYONS</t>
  </si>
  <si>
    <t>MABRAHAM</t>
  </si>
  <si>
    <t>MACSIGNS</t>
  </si>
  <si>
    <t>MANUFACT</t>
  </si>
  <si>
    <t>MARAIRON</t>
  </si>
  <si>
    <t>MARBLELI</t>
  </si>
  <si>
    <t>MARCBOWE</t>
  </si>
  <si>
    <t>MARIOTTI</t>
  </si>
  <si>
    <t>MARKWHIT</t>
  </si>
  <si>
    <t>MARLINBU</t>
  </si>
  <si>
    <t>MARPAULI</t>
  </si>
  <si>
    <t>MARRDEVE</t>
  </si>
  <si>
    <t>MARSHALL</t>
  </si>
  <si>
    <t>MARTINBA</t>
  </si>
  <si>
    <t>MARTINRO</t>
  </si>
  <si>
    <t>MARXHVAC</t>
  </si>
  <si>
    <t>MARYLAND</t>
  </si>
  <si>
    <t>MASTCONC</t>
  </si>
  <si>
    <t>MASTERSR</t>
  </si>
  <si>
    <t>MASTTRAN</t>
  </si>
  <si>
    <t>MAVRIKINC</t>
  </si>
  <si>
    <t>MBCI0000</t>
  </si>
  <si>
    <t>MCCARTHY</t>
  </si>
  <si>
    <t>MCCARTHY&amp;</t>
  </si>
  <si>
    <t>MCDALCORP</t>
  </si>
  <si>
    <t>MCDONALD</t>
  </si>
  <si>
    <t>MCFIREPRO</t>
  </si>
  <si>
    <t>MCGREGOR</t>
  </si>
  <si>
    <t>MCLARENE</t>
  </si>
  <si>
    <t>MCMASTER</t>
  </si>
  <si>
    <t>MDCSYSTE</t>
  </si>
  <si>
    <t>MDSTEEL</t>
  </si>
  <si>
    <t>MEDEXPA</t>
  </si>
  <si>
    <t>MEDICOIN</t>
  </si>
  <si>
    <t>MESKOAVO</t>
  </si>
  <si>
    <t>MESKOES</t>
  </si>
  <si>
    <t>MESKOGLA</t>
  </si>
  <si>
    <t>MESKOWB0</t>
  </si>
  <si>
    <t>METED</t>
  </si>
  <si>
    <t>METLIFEDIB</t>
  </si>
  <si>
    <t>METROPRO</t>
  </si>
  <si>
    <t>MICHANTH</t>
  </si>
  <si>
    <t>MICHELCO</t>
  </si>
  <si>
    <t>MICHELSF</t>
  </si>
  <si>
    <t>MICROCLE</t>
  </si>
  <si>
    <t>MIDATLSE</t>
  </si>
  <si>
    <t>MIDLANTI</t>
  </si>
  <si>
    <t>MIDVALLE</t>
  </si>
  <si>
    <t>MIKEBEVI</t>
  </si>
  <si>
    <t>MILNESEN</t>
  </si>
  <si>
    <t>MILSPECI</t>
  </si>
  <si>
    <t>MKM</t>
  </si>
  <si>
    <t>MKNORRCO</t>
  </si>
  <si>
    <t>MMUIR</t>
  </si>
  <si>
    <t>MOBILEMI</t>
  </si>
  <si>
    <t>MOBILEMO</t>
  </si>
  <si>
    <t>MODERNFO</t>
  </si>
  <si>
    <t>MODERNHA</t>
  </si>
  <si>
    <t>MODERNPR</t>
  </si>
  <si>
    <t>MODSTYLE</t>
  </si>
  <si>
    <t>MOLDEDFI</t>
  </si>
  <si>
    <t>MONROECOUN</t>
  </si>
  <si>
    <t>MORGFRAN</t>
  </si>
  <si>
    <t>MORNINGC</t>
  </si>
  <si>
    <t>MORSECOLL</t>
  </si>
  <si>
    <t>MOTORWOR</t>
  </si>
  <si>
    <t>MOUNENER</t>
  </si>
  <si>
    <t>MOUNTAIN</t>
  </si>
  <si>
    <t>MTZIONMA</t>
  </si>
  <si>
    <t>MULTISER</t>
  </si>
  <si>
    <t>MURPHYLU</t>
  </si>
  <si>
    <t>MW Welding</t>
  </si>
  <si>
    <t>MWWELDING</t>
  </si>
  <si>
    <t>NAESPOWE</t>
  </si>
  <si>
    <t>NAMILLWR</t>
  </si>
  <si>
    <t>NATIONWIDE</t>
  </si>
  <si>
    <t>NEARCHIT</t>
  </si>
  <si>
    <t>NEMAINTE</t>
  </si>
  <si>
    <t>NEPAAIAI</t>
  </si>
  <si>
    <t>NEPACASS</t>
  </si>
  <si>
    <t>NEPACONC</t>
  </si>
  <si>
    <t>NEPACONT</t>
  </si>
  <si>
    <t>NEPACRANE</t>
  </si>
  <si>
    <t>NESITECO</t>
  </si>
  <si>
    <t>NESTEELP</t>
  </si>
  <si>
    <t>NEWAGEIN</t>
  </si>
  <si>
    <t>NEWELLFU</t>
  </si>
  <si>
    <t>NEWENTER</t>
  </si>
  <si>
    <t>NEWPORT</t>
  </si>
  <si>
    <t>NICKMALA</t>
  </si>
  <si>
    <t>NIKOCONS</t>
  </si>
  <si>
    <t>NIVERTME</t>
  </si>
  <si>
    <t>NJDEPTREV</t>
  </si>
  <si>
    <t>NORAMIND</t>
  </si>
  <si>
    <t>NORBUILD</t>
  </si>
  <si>
    <t>NORRIS</t>
  </si>
  <si>
    <t>NORTHEAST</t>
  </si>
  <si>
    <t>NORTHEND</t>
  </si>
  <si>
    <t>NOTOELEC</t>
  </si>
  <si>
    <t>NOVACRET</t>
  </si>
  <si>
    <t>NSCORPOR</t>
  </si>
  <si>
    <t>NUCORHAR</t>
  </si>
  <si>
    <t>NUNZISAD</t>
  </si>
  <si>
    <t>NYCOMINC</t>
  </si>
  <si>
    <t>NYSDEPTTAX</t>
  </si>
  <si>
    <t>NYSTROMI</t>
  </si>
  <si>
    <t>OCCUPANJ</t>
  </si>
  <si>
    <t>OHDCLANC</t>
  </si>
  <si>
    <t>OHIOCASU</t>
  </si>
  <si>
    <t>OLEYINDU</t>
  </si>
  <si>
    <t>OLIVERFI</t>
  </si>
  <si>
    <t>OMPSTOWI</t>
  </si>
  <si>
    <t>ONETIME</t>
  </si>
  <si>
    <t>ORERENTA</t>
  </si>
  <si>
    <t>ORLATRUS</t>
  </si>
  <si>
    <t>orlatruss</t>
  </si>
  <si>
    <t>ORRINDUS</t>
  </si>
  <si>
    <t>OTISELEV</t>
  </si>
  <si>
    <t>OURLADYSC</t>
  </si>
  <si>
    <t>OVERCORP</t>
  </si>
  <si>
    <t>OVERDOOR</t>
  </si>
  <si>
    <t>OVERREAD</t>
  </si>
  <si>
    <t>OVERTHET</t>
  </si>
  <si>
    <t>PAMSCO</t>
  </si>
  <si>
    <t>PANHANDL</t>
  </si>
  <si>
    <t>PAPKESCU</t>
  </si>
  <si>
    <t>PARADIGM</t>
  </si>
  <si>
    <t>PARTITIO</t>
  </si>
  <si>
    <t>PARTNEREQU</t>
  </si>
  <si>
    <t>PASIGNSLLC</t>
  </si>
  <si>
    <t>PEAKUTIL</t>
  </si>
  <si>
    <t>PEARLMEY</t>
  </si>
  <si>
    <t>PELLAPRO</t>
  </si>
  <si>
    <t>PELLAWIN</t>
  </si>
  <si>
    <t>PENAPLAS</t>
  </si>
  <si>
    <t>PENNAMER</t>
  </si>
  <si>
    <t>PENNEQUI</t>
  </si>
  <si>
    <t>PENNNORTH</t>
  </si>
  <si>
    <t>PENNONEC</t>
  </si>
  <si>
    <t>PENNONI</t>
  </si>
  <si>
    <t>PENNPAPE</t>
  </si>
  <si>
    <t>PENNREFR</t>
  </si>
  <si>
    <t>PENNSTEE</t>
  </si>
  <si>
    <t>PENNSYSU</t>
  </si>
  <si>
    <t>PENNTECT</t>
  </si>
  <si>
    <t>PEOPLESM</t>
  </si>
  <si>
    <t>PERIFORM</t>
  </si>
  <si>
    <t>PERLEYHA</t>
  </si>
  <si>
    <t>PETESGARA</t>
  </si>
  <si>
    <t>PETTIPES</t>
  </si>
  <si>
    <t>PG000000</t>
  </si>
  <si>
    <t>PGAL0000</t>
  </si>
  <si>
    <t>PHILADELPH</t>
  </si>
  <si>
    <t>PHILLYWD</t>
  </si>
  <si>
    <t>PIEROSCO</t>
  </si>
  <si>
    <t>PIERSON</t>
  </si>
  <si>
    <t>PINEKNOL</t>
  </si>
  <si>
    <t>PINNROOF</t>
  </si>
  <si>
    <t>PLACESTR</t>
  </si>
  <si>
    <t>PLTCLEAN</t>
  </si>
  <si>
    <t>PLYMOUTH</t>
  </si>
  <si>
    <t>PNCEQUIP</t>
  </si>
  <si>
    <t>PNCINSTI</t>
  </si>
  <si>
    <t>POCCLEAN</t>
  </si>
  <si>
    <t>POCTRANS</t>
  </si>
  <si>
    <t>POLYMER</t>
  </si>
  <si>
    <t>PONS&amp;ASS</t>
  </si>
  <si>
    <t>PORTANOV</t>
  </si>
  <si>
    <t>POSTLERJ</t>
  </si>
  <si>
    <t>POSTUPAK</t>
  </si>
  <si>
    <t>POTOMACA</t>
  </si>
  <si>
    <t>POWERENG</t>
  </si>
  <si>
    <t>POWERMEC</t>
  </si>
  <si>
    <t>POWERSCO</t>
  </si>
  <si>
    <t>POWEXCAV</t>
  </si>
  <si>
    <t>POWRENTA</t>
  </si>
  <si>
    <t>POWSALES</t>
  </si>
  <si>
    <t>PPLUTILI</t>
  </si>
  <si>
    <t>PRECISION</t>
  </si>
  <si>
    <t>PRECPUMP</t>
  </si>
  <si>
    <t>PRESRAY</t>
  </si>
  <si>
    <t>PRINTOST</t>
  </si>
  <si>
    <t>PRISMRESPO</t>
  </si>
  <si>
    <t>PRO4MAXI</t>
  </si>
  <si>
    <t>PROCORE</t>
  </si>
  <si>
    <t>PROFESSI</t>
  </si>
  <si>
    <t>PROFPLUS</t>
  </si>
  <si>
    <t>PROGPRIN</t>
  </si>
  <si>
    <t>PROMAXFE</t>
  </si>
  <si>
    <t>PROREZLL</t>
  </si>
  <si>
    <t>PRUDENTI</t>
  </si>
  <si>
    <t>PSIENGIN</t>
  </si>
  <si>
    <t>PURESTRE</t>
  </si>
  <si>
    <t>PURITYSY</t>
  </si>
  <si>
    <t>PWWASHO0</t>
  </si>
  <si>
    <t>QUANDELJ</t>
  </si>
  <si>
    <t>RAINBOWR</t>
  </si>
  <si>
    <t>RALPHJONES</t>
  </si>
  <si>
    <t>RAMON</t>
  </si>
  <si>
    <t>RANFPENG</t>
  </si>
  <si>
    <t>RAYMONDS</t>
  </si>
  <si>
    <t>RAYNORDO</t>
  </si>
  <si>
    <t>RCCFIBER</t>
  </si>
  <si>
    <t>RCFGROUP</t>
  </si>
  <si>
    <t>RDWEISLL</t>
  </si>
  <si>
    <t>READINGP</t>
  </si>
  <si>
    <t>REDHOTWE</t>
  </si>
  <si>
    <t>REEVESAW</t>
  </si>
  <si>
    <t>REEVESRE</t>
  </si>
  <si>
    <t>REGALPAI</t>
  </si>
  <si>
    <t>REILLYAS</t>
  </si>
  <si>
    <t>RELIANT</t>
  </si>
  <si>
    <t>RESEARCH</t>
  </si>
  <si>
    <t>RESTEELS</t>
  </si>
  <si>
    <t>RESTEELWV</t>
  </si>
  <si>
    <t>RETROTH</t>
  </si>
  <si>
    <t>REUTHERB</t>
  </si>
  <si>
    <t>REUTHERN</t>
  </si>
  <si>
    <t>REVENUER</t>
  </si>
  <si>
    <t>RHOADSOH</t>
  </si>
  <si>
    <t>RICHARDPED</t>
  </si>
  <si>
    <t>RICHMELL</t>
  </si>
  <si>
    <t>RIDDLEEN</t>
  </si>
  <si>
    <t>RINEWELD</t>
  </si>
  <si>
    <t>RISECONS</t>
  </si>
  <si>
    <t>RITETEMP</t>
  </si>
  <si>
    <t>RITSICKS</t>
  </si>
  <si>
    <t>RIVEBLOC</t>
  </si>
  <si>
    <t>RJRFABIR</t>
  </si>
  <si>
    <t>RLEENTER</t>
  </si>
  <si>
    <t>RNDEMECK</t>
  </si>
  <si>
    <t>ROBERTBE</t>
  </si>
  <si>
    <t>ROBINSTLC</t>
  </si>
  <si>
    <t>ROCKFUEL</t>
  </si>
  <si>
    <t>ROGERSSE</t>
  </si>
  <si>
    <t>RULONINTER</t>
  </si>
  <si>
    <t>RUTKOSKI</t>
  </si>
  <si>
    <t>S&amp;SSTRUC</t>
  </si>
  <si>
    <t>S&amp;STOOLS</t>
  </si>
  <si>
    <t>SACOMUNALE</t>
  </si>
  <si>
    <t>SAFELITE</t>
  </si>
  <si>
    <t>SAFESERV</t>
  </si>
  <si>
    <t>SANDRAPAL</t>
  </si>
  <si>
    <t>SANTAPAR</t>
  </si>
  <si>
    <t>SARTORIU</t>
  </si>
  <si>
    <t>SAVWAY</t>
  </si>
  <si>
    <t>SAYCORE0</t>
  </si>
  <si>
    <t>SBCOTTON</t>
  </si>
  <si>
    <t>SCANDALE</t>
  </si>
  <si>
    <t>SCHINDLER</t>
  </si>
  <si>
    <t>SCHRADER</t>
  </si>
  <si>
    <t>SCONDROS</t>
  </si>
  <si>
    <t>SCRACLEA</t>
  </si>
  <si>
    <t>SCRANTONGL</t>
  </si>
  <si>
    <t>SCRCRAFT</t>
  </si>
  <si>
    <t>SCRDODGE</t>
  </si>
  <si>
    <t>SCRELECT</t>
  </si>
  <si>
    <t>SCRPLAN</t>
  </si>
  <si>
    <t>SCRPRINT</t>
  </si>
  <si>
    <t>SCRTIMES</t>
  </si>
  <si>
    <t>SDAARCHIT</t>
  </si>
  <si>
    <t>SEANBYRN</t>
  </si>
  <si>
    <t>SECAPFIN</t>
  </si>
  <si>
    <t>SECURITY</t>
  </si>
  <si>
    <t>SELECTIVE</t>
  </si>
  <si>
    <t>SERENITY</t>
  </si>
  <si>
    <t>SERVICEE</t>
  </si>
  <si>
    <t>SETINSTO</t>
  </si>
  <si>
    <t>SHADESUN</t>
  </si>
  <si>
    <t>SHARPENG</t>
  </si>
  <si>
    <t>SHENPUMP</t>
  </si>
  <si>
    <t>SHEPHERD</t>
  </si>
  <si>
    <t>SHERWINW</t>
  </si>
  <si>
    <t>SHIELDRF</t>
  </si>
  <si>
    <t>SIEMENSI</t>
  </si>
  <si>
    <t>SIGACOVER</t>
  </si>
  <si>
    <t>SIGNATUR</t>
  </si>
  <si>
    <t>SILENTIA</t>
  </si>
  <si>
    <t>SIMPLEXI</t>
  </si>
  <si>
    <t>SIMPLIFY</t>
  </si>
  <si>
    <t>SIMSONA0</t>
  </si>
  <si>
    <t>SKELDING</t>
  </si>
  <si>
    <t>SKYWORKS</t>
  </si>
  <si>
    <t>SLUSSERB</t>
  </si>
  <si>
    <t>SMARTREC</t>
  </si>
  <si>
    <t>SMITHMIL</t>
  </si>
  <si>
    <t>SOBECKROOF</t>
  </si>
  <si>
    <t>SONCOWOR</t>
  </si>
  <si>
    <t>SOUTHEAM</t>
  </si>
  <si>
    <t>SOUTHSHO</t>
  </si>
  <si>
    <t>SPARCONA</t>
  </si>
  <si>
    <t>SPECTRAC</t>
  </si>
  <si>
    <t>SPOTTCON</t>
  </si>
  <si>
    <t>SPOTTINS</t>
  </si>
  <si>
    <t>SPRAYSYS</t>
  </si>
  <si>
    <t>SPROULCO</t>
  </si>
  <si>
    <t>STAINLES</t>
  </si>
  <si>
    <t>STANDARD</t>
  </si>
  <si>
    <t>STANDAWN</t>
  </si>
  <si>
    <t>STANDINS</t>
  </si>
  <si>
    <t>STANFORD</t>
  </si>
  <si>
    <t>STANLEYA</t>
  </si>
  <si>
    <t>STANTECC</t>
  </si>
  <si>
    <t>STARSLLC</t>
  </si>
  <si>
    <t>STAUFFER</t>
  </si>
  <si>
    <t>STEELESH</t>
  </si>
  <si>
    <t>STEELSER</t>
  </si>
  <si>
    <t>STELLARM</t>
  </si>
  <si>
    <t>STENSTROM</t>
  </si>
  <si>
    <t>STERLING</t>
  </si>
  <si>
    <t>STEVSHAN</t>
  </si>
  <si>
    <t>STLUKESH</t>
  </si>
  <si>
    <t>STMARYSV</t>
  </si>
  <si>
    <t>STONHARD</t>
  </si>
  <si>
    <t>STRAUBMI</t>
  </si>
  <si>
    <t>STUARTDE</t>
  </si>
  <si>
    <t>STUCKEYS</t>
  </si>
  <si>
    <t>SUMMDRYW</t>
  </si>
  <si>
    <t>SUNBELTR</t>
  </si>
  <si>
    <t>SUNPRECA</t>
  </si>
  <si>
    <t>SURFACESPE</t>
  </si>
  <si>
    <t>SUSQLCBF</t>
  </si>
  <si>
    <t>SUSQUEHA</t>
  </si>
  <si>
    <t>SUSQUEHANN</t>
  </si>
  <si>
    <t>SWIFTFEN</t>
  </si>
  <si>
    <t>TALALLMA</t>
  </si>
  <si>
    <t>TAXCOLLE</t>
  </si>
  <si>
    <t>TAYLORBO</t>
  </si>
  <si>
    <t>TAYLOROI</t>
  </si>
  <si>
    <t>TCKOESTR</t>
  </si>
  <si>
    <t>TEAMEREC</t>
  </si>
  <si>
    <t>TEAMSUPP</t>
  </si>
  <si>
    <t>TECHPLEA</t>
  </si>
  <si>
    <t>TEMPEXCA</t>
  </si>
  <si>
    <t>TERRACON</t>
  </si>
  <si>
    <t>TERRAUNI</t>
  </si>
  <si>
    <t>TERREAL</t>
  </si>
  <si>
    <t>TESPALL</t>
  </si>
  <si>
    <t>TEXTURA</t>
  </si>
  <si>
    <t>THACKRAY</t>
  </si>
  <si>
    <t>THEAGREE</t>
  </si>
  <si>
    <t>THEFIREP</t>
  </si>
  <si>
    <t>THEGRANDBA</t>
  </si>
  <si>
    <t>THERMAL0</t>
  </si>
  <si>
    <t>THERMALF</t>
  </si>
  <si>
    <t>THERMALL</t>
  </si>
  <si>
    <t>THEURGEN</t>
  </si>
  <si>
    <t>THIRDDIM</t>
  </si>
  <si>
    <t>THOMASBE</t>
  </si>
  <si>
    <t>THRASHER</t>
  </si>
  <si>
    <t>THREERIN</t>
  </si>
  <si>
    <t>THRIVE</t>
  </si>
  <si>
    <t>THROOPBORO</t>
  </si>
  <si>
    <t>TILDENTWP</t>
  </si>
  <si>
    <t>TITANFOU</t>
  </si>
  <si>
    <t>TITANTRE</t>
  </si>
  <si>
    <t>TITCHIRO</t>
  </si>
  <si>
    <t>TJCANNON</t>
  </si>
  <si>
    <t>TJEUQUIP</t>
  </si>
  <si>
    <t>TLHCONSULT</t>
  </si>
  <si>
    <t>TMMOREY</t>
  </si>
  <si>
    <t>TMOBILE</t>
  </si>
  <si>
    <t>TNEMEC</t>
  </si>
  <si>
    <t>TOMHESSE</t>
  </si>
  <si>
    <t>TOMJAWOR</t>
  </si>
  <si>
    <t>TOMSWIFE</t>
  </si>
  <si>
    <t>TOOLWATC</t>
  </si>
  <si>
    <t>TOPCONSO</t>
  </si>
  <si>
    <t>TORBIKSA</t>
  </si>
  <si>
    <t>TOWERHEA</t>
  </si>
  <si>
    <t>TOWNDERRY</t>
  </si>
  <si>
    <t>TOWNPLAINS</t>
  </si>
  <si>
    <t>TOWNSILVER</t>
  </si>
  <si>
    <t>TOWNSPRING</t>
  </si>
  <si>
    <t>TOWNWARM</t>
  </si>
  <si>
    <t>TOWNWHIT</t>
  </si>
  <si>
    <t>TOWNYORK</t>
  </si>
  <si>
    <t>TRACORP</t>
  </si>
  <si>
    <t>TRACYCON</t>
  </si>
  <si>
    <t>TRAFFCOM</t>
  </si>
  <si>
    <t>TRAILERCOR</t>
  </si>
  <si>
    <t>TRAINING</t>
  </si>
  <si>
    <t>TRAISUPE</t>
  </si>
  <si>
    <t>TRANSPORT</t>
  </si>
  <si>
    <t>TRAUNER</t>
  </si>
  <si>
    <t>TRAVELERS</t>
  </si>
  <si>
    <t>TRENCHDRAI</t>
  </si>
  <si>
    <t>TRENCHTE</t>
  </si>
  <si>
    <t>TRENCHTEC</t>
  </si>
  <si>
    <t>TREVDANB</t>
  </si>
  <si>
    <t>TRIADENG</t>
  </si>
  <si>
    <t>TRIAFAST</t>
  </si>
  <si>
    <t>TRIBORO</t>
  </si>
  <si>
    <t>TRICOUNT</t>
  </si>
  <si>
    <t>TRICOUNTY</t>
  </si>
  <si>
    <t>TRINCOM</t>
  </si>
  <si>
    <t>TRISTATE</t>
  </si>
  <si>
    <t>TRISTATEST</t>
  </si>
  <si>
    <t>TROIANIE</t>
  </si>
  <si>
    <t>TROYMECH</t>
  </si>
  <si>
    <t>TRUELINE</t>
  </si>
  <si>
    <t>TRUGREEN</t>
  </si>
  <si>
    <t>TRUSKEYI</t>
  </si>
  <si>
    <t>TSIENERG</t>
  </si>
  <si>
    <t>TUG</t>
  </si>
  <si>
    <t>TULPEHOC</t>
  </si>
  <si>
    <t>TULPPETE</t>
  </si>
  <si>
    <t>TUNKFORD</t>
  </si>
  <si>
    <t>TURNERCO</t>
  </si>
  <si>
    <t>TURNERFOUN</t>
  </si>
  <si>
    <t>UGI</t>
  </si>
  <si>
    <t>ULINESSS</t>
  </si>
  <si>
    <t>ULMAFORM</t>
  </si>
  <si>
    <t>UNIINSPE</t>
  </si>
  <si>
    <t>UNIMANUFAC</t>
  </si>
  <si>
    <t>UNIRENTA</t>
  </si>
  <si>
    <t>UNISTRUT</t>
  </si>
  <si>
    <t>UNITEDGLAS</t>
  </si>
  <si>
    <t>UNITEDPL</t>
  </si>
  <si>
    <t>UNITEDWA</t>
  </si>
  <si>
    <t>UPSTATEFP</t>
  </si>
  <si>
    <t>URBANELE</t>
  </si>
  <si>
    <t>USPIPING</t>
  </si>
  <si>
    <t>USPS</t>
  </si>
  <si>
    <t>VALLEUSUP</t>
  </si>
  <si>
    <t>VALLEYAU</t>
  </si>
  <si>
    <t>VALUEDCLEA</t>
  </si>
  <si>
    <t>VALVANOS</t>
  </si>
  <si>
    <t>VANMORPL</t>
  </si>
  <si>
    <t>VARSITYI</t>
  </si>
  <si>
    <t>VECTORSE</t>
  </si>
  <si>
    <t>VERIZONPA</t>
  </si>
  <si>
    <t>VERIZONW</t>
  </si>
  <si>
    <t>VIKINGSTL</t>
  </si>
  <si>
    <t>VIMCO</t>
  </si>
  <si>
    <t>VISIONBE</t>
  </si>
  <si>
    <t>VOITEKTV</t>
  </si>
  <si>
    <t>VOLLERS</t>
  </si>
  <si>
    <t>VWRINTER</t>
  </si>
  <si>
    <t>WALKERCO</t>
  </si>
  <si>
    <t>WALSHELE</t>
  </si>
  <si>
    <t>WALTERSS</t>
  </si>
  <si>
    <t>WARKOGRP</t>
  </si>
  <si>
    <t>WASTEMAN</t>
  </si>
  <si>
    <t>WEISBERG</t>
  </si>
  <si>
    <t>WESEEPRO</t>
  </si>
  <si>
    <t>WESTMATIC</t>
  </si>
  <si>
    <t>WESTTRUC</t>
  </si>
  <si>
    <t>WESTWIND</t>
  </si>
  <si>
    <t>WEXBANK</t>
  </si>
  <si>
    <t>WHITECAP</t>
  </si>
  <si>
    <t>WHITEHAL</t>
  </si>
  <si>
    <t>WHITNEY</t>
  </si>
  <si>
    <t>WILKESMA</t>
  </si>
  <si>
    <t>WILLIAMJ</t>
  </si>
  <si>
    <t>WILLSCOT</t>
  </si>
  <si>
    <t>WILSNASP</t>
  </si>
  <si>
    <t>WINCHEST</t>
  </si>
  <si>
    <t>WINDRIVE</t>
  </si>
  <si>
    <t>WINDSORT</t>
  </si>
  <si>
    <t>WINGCOIN</t>
  </si>
  <si>
    <t>WINOLICE</t>
  </si>
  <si>
    <t>WITMER</t>
  </si>
  <si>
    <t>WKLARCHI</t>
  </si>
  <si>
    <t>WMORRSON</t>
  </si>
  <si>
    <t>WOGRUBB1</t>
  </si>
  <si>
    <t>WOLKLAND</t>
  </si>
  <si>
    <t>WOMANRES</t>
  </si>
  <si>
    <t>WONDOORC</t>
  </si>
  <si>
    <t>WORKSAFE</t>
  </si>
  <si>
    <t>WORTHCOM</t>
  </si>
  <si>
    <t>WVSTATETAX</t>
  </si>
  <si>
    <t>XPRESSCR</t>
  </si>
  <si>
    <t>YALEELEC</t>
  </si>
  <si>
    <t>YODER&amp;SONS</t>
  </si>
  <si>
    <t>ZACKPAIN</t>
  </si>
  <si>
    <t>BRANDSAF</t>
  </si>
  <si>
    <t>CORECELL</t>
  </si>
  <si>
    <t>DESIGNBL</t>
  </si>
  <si>
    <t>DURABLED</t>
  </si>
  <si>
    <t>GRIDSTEE</t>
  </si>
  <si>
    <t>IRAGSTEF</t>
  </si>
  <si>
    <t>SIGNSAFE</t>
  </si>
  <si>
    <t>AMERIGL</t>
  </si>
  <si>
    <t>BRDAEXCA</t>
  </si>
  <si>
    <t>GENEMETS</t>
  </si>
  <si>
    <t>MORRISBL</t>
  </si>
  <si>
    <t>PULMANIN</t>
  </si>
  <si>
    <t>SIMRELLMED</t>
  </si>
  <si>
    <t>THYSSENK</t>
  </si>
  <si>
    <t>UNITMODU</t>
  </si>
  <si>
    <t>WILMSCHU</t>
  </si>
  <si>
    <t>2018TABLER</t>
  </si>
  <si>
    <t>CONEMANU</t>
  </si>
  <si>
    <t>ABSTEEL</t>
  </si>
  <si>
    <t>330 Montage Mountain Road LLC</t>
  </si>
  <si>
    <t>84 Lumber</t>
  </si>
  <si>
    <t>A&amp;A Auto Parts Stores Inc</t>
  </si>
  <si>
    <t>A&amp;B Door Sales &amp; Service</t>
  </si>
  <si>
    <t>ABB Inc</t>
  </si>
  <si>
    <t>ABC Supply Co Inc</t>
  </si>
  <si>
    <t>Accordant Company LLC</t>
  </si>
  <si>
    <t>Accurate Locksmith</t>
  </si>
  <si>
    <t>ACOUSTICAL SPRAY INSULATION</t>
  </si>
  <si>
    <t>Air Cleaning Systems, Inc.</t>
  </si>
  <si>
    <t>Action Adam Services</t>
  </si>
  <si>
    <t>Action Lift Inc</t>
  </si>
  <si>
    <t>Adams Glass &amp; Aluminum Inc</t>
  </si>
  <si>
    <t>Adelphia Fire, LLC</t>
  </si>
  <si>
    <t>ADMAR Supply Company Inc</t>
  </si>
  <si>
    <t>Advanced Cleaning Solutions</t>
  </si>
  <si>
    <t>Advanced Industrial Services</t>
  </si>
  <si>
    <t>Advanced Coring &amp; Cutting Corp</t>
  </si>
  <si>
    <t>AES Clean Technology Inc</t>
  </si>
  <si>
    <t>Agile Premium Finance</t>
  </si>
  <si>
    <t>AIA Alera Group</t>
  </si>
  <si>
    <t>Air Balancing Engineers</t>
  </si>
  <si>
    <t>Airgas USA LLC</t>
  </si>
  <si>
    <t>Airline Louvers</t>
  </si>
  <si>
    <t>Airport Sand &amp; Gravel</t>
  </si>
  <si>
    <t>AJ Henry Lumber Co</t>
  </si>
  <si>
    <t>Ajimco Construction Inc</t>
  </si>
  <si>
    <t>Alann LLC</t>
  </si>
  <si>
    <t>Alan Tye &amp; Associates</t>
  </si>
  <si>
    <t>Alan Wycheck Photography Inc</t>
  </si>
  <si>
    <t>Alicon Environmental</t>
  </si>
  <si>
    <t>All American Pest Control</t>
  </si>
  <si>
    <t>All Gutter Systems</t>
  </si>
  <si>
    <t>Alliance Masonry Corp</t>
  </si>
  <si>
    <t>All One Charities</t>
  </si>
  <si>
    <t>Allstate Septic Systems</t>
  </si>
  <si>
    <t>Alpha-Omega Shelving, Inc.</t>
  </si>
  <si>
    <t>Alpine Building Supply</t>
  </si>
  <si>
    <t>American Concrete Institute</t>
  </si>
  <si>
    <t>American Express</t>
  </si>
  <si>
    <t>American Painters LLC</t>
  </si>
  <si>
    <t>American Producers Supply Co</t>
  </si>
  <si>
    <t>Andrew Billets and Sons</t>
  </si>
  <si>
    <t>Andrus Battery Inc</t>
  </si>
  <si>
    <t>Anthony J Rinaldi Jr Foundatio</t>
  </si>
  <si>
    <t>Antonios Trucking Inc</t>
  </si>
  <si>
    <t>Apollo Group Inc</t>
  </si>
  <si>
    <t>Applied Video Technology Inc</t>
  </si>
  <si>
    <t>Appellation Const Services Inc</t>
  </si>
  <si>
    <t>Applied Technical Services</t>
  </si>
  <si>
    <t>APT Distributing Inc</t>
  </si>
  <si>
    <t>Arbon Equipment Corporation</t>
  </si>
  <si>
    <t>ARC Document Solutions LLC</t>
  </si>
  <si>
    <t>Assai Energy LLC</t>
  </si>
  <si>
    <t>Architectural Builders</t>
  </si>
  <si>
    <t>Architectural Louvers</t>
  </si>
  <si>
    <t>Architectural Sheet Metal</t>
  </si>
  <si>
    <t>Architectural Stone</t>
  </si>
  <si>
    <t>Architectural Window Corp</t>
  </si>
  <si>
    <t>Arena Maintenance Solutions L</t>
  </si>
  <si>
    <t>Arley Wholesale Inc</t>
  </si>
  <si>
    <t>ARM Group LLC</t>
  </si>
  <si>
    <t>Arora Engineers LLC</t>
  </si>
  <si>
    <t>Artex Inc</t>
  </si>
  <si>
    <t>Artisan Display Inc</t>
  </si>
  <si>
    <t>ASI Doors Inc</t>
  </si>
  <si>
    <t>ASM Environmental LLC</t>
  </si>
  <si>
    <t>Atlantech Distribution</t>
  </si>
  <si>
    <t>Atlas Group Inc</t>
  </si>
  <si>
    <t>August Mack Environmental Inc</t>
  </si>
  <si>
    <t>Austin Mohawk and Company</t>
  </si>
  <si>
    <t>Automated Lifestyles LLC</t>
  </si>
  <si>
    <t>Automatic Door Enterprises</t>
  </si>
  <si>
    <t>Autotech</t>
  </si>
  <si>
    <t>A-Verdi LLC</t>
  </si>
  <si>
    <t>AWC Contracting LLC</t>
  </si>
  <si>
    <t>Badger Daylighting Inc</t>
  </si>
  <si>
    <t>Bailey Landscaping &amp; Maint</t>
  </si>
  <si>
    <t>Balco Inc</t>
  </si>
  <si>
    <t>Barker &amp; Barker Asphalt Paving</t>
  </si>
  <si>
    <t>Barrett Surveying &amp; Mapping</t>
  </si>
  <si>
    <t>Barry Isett &amp; Associates Inc</t>
  </si>
  <si>
    <t>Baseline Contracting Inc</t>
  </si>
  <si>
    <t>T.G. Basile</t>
  </si>
  <si>
    <t>Bassler Equipment Co</t>
  </si>
  <si>
    <t>Baut Studios Inc</t>
  </si>
  <si>
    <t>Bayshore Rebar Inc</t>
  </si>
  <si>
    <t>B&amp;B Lightning Protection</t>
  </si>
  <si>
    <t>BC Supply LLC</t>
  </si>
  <si>
    <t>Beach Lake Sprinkler Corp</t>
  </si>
  <si>
    <t>Beacon Building Products</t>
  </si>
  <si>
    <t>Beaver Valley Environmental</t>
  </si>
  <si>
    <t>BEI Electrical</t>
  </si>
  <si>
    <t>Bell Mt Land Development Corp</t>
  </si>
  <si>
    <t>Bencardino Excavating Inc</t>
  </si>
  <si>
    <t>Ben Druck Door Co</t>
  </si>
  <si>
    <t>Bentley &amp; Collins</t>
  </si>
  <si>
    <t>Berkel and Company Contractors</t>
  </si>
  <si>
    <t>Berkeley Glass</t>
  </si>
  <si>
    <t>Berner International</t>
  </si>
  <si>
    <t>BethAllen Scaffold &amp; Equipment</t>
  </si>
  <si>
    <t>The Betty Mills Company</t>
  </si>
  <si>
    <t>Bianca's K9 Haven</t>
  </si>
  <si>
    <t>Bidding Enterprise LLC</t>
  </si>
  <si>
    <t>Bill Barry Excavating Inc</t>
  </si>
  <si>
    <t>Biros Utilities Inc</t>
  </si>
  <si>
    <t>Blair Park Services LLC</t>
  </si>
  <si>
    <t>Blue Ridge Lumber</t>
  </si>
  <si>
    <t>BMC Office Furniture</t>
  </si>
  <si>
    <t>Borlie Mechanical Contracting</t>
  </si>
  <si>
    <t>Borough of Archbald</t>
  </si>
  <si>
    <t>Moosic Borough</t>
  </si>
  <si>
    <t>Verdantas LLC</t>
  </si>
  <si>
    <t>Don E Bower Inc</t>
  </si>
  <si>
    <t>Boys and Girls Club of NEPA</t>
  </si>
  <si>
    <t>Brennan Electric Inc</t>
  </si>
  <si>
    <t>Bricks &amp; Stone Supply</t>
  </si>
  <si>
    <t>Brock Associates LLC</t>
  </si>
  <si>
    <t>Brojack Lumber Co</t>
  </si>
  <si>
    <t>Brown-Daub Dodge Inc</t>
  </si>
  <si>
    <t>Brucelli Advertising Co Inc</t>
  </si>
  <si>
    <t>Brunson Instrument Company</t>
  </si>
  <si>
    <t>Budget Maintenance Concrete</t>
  </si>
  <si>
    <t>Buffalo Air Handling</t>
  </si>
  <si>
    <t>L&amp;W Suppply Corp</t>
  </si>
  <si>
    <t>Builders Door &amp; Hardware Inc</t>
  </si>
  <si>
    <t>Building Point Northeast</t>
  </si>
  <si>
    <t>Builders Supply</t>
  </si>
  <si>
    <t>Bulldog Maintenance Company</t>
  </si>
  <si>
    <t>Buranich Excavating</t>
  </si>
  <si>
    <t>BVNA Bureau Veritas</t>
  </si>
  <si>
    <t>Burke Truckmen</t>
  </si>
  <si>
    <t>Business Builders Lehigh Valle</t>
  </si>
  <si>
    <t>Buttonwood Company</t>
  </si>
  <si>
    <t>JT Butz Enterprises</t>
  </si>
  <si>
    <t>Calvin Excavating LLC</t>
  </si>
  <si>
    <t>Capitol Building Supply</t>
  </si>
  <si>
    <t>Captial One Bank USA NA</t>
  </si>
  <si>
    <t>The Care of Trees</t>
  </si>
  <si>
    <t>Caretti Restoration &amp;</t>
  </si>
  <si>
    <t>Carpenters Benefit Fund</t>
  </si>
  <si>
    <t>Carter Lumber</t>
  </si>
  <si>
    <t>Cascade Manufacturing Co</t>
  </si>
  <si>
    <t>AJ Catagnus Inc</t>
  </si>
  <si>
    <t>Cavanaugh Electrical</t>
  </si>
  <si>
    <t>CCM Contracting</t>
  </si>
  <si>
    <t>C&amp;D Waterproofing Corp</t>
  </si>
  <si>
    <t>Celtic Cabinetry &amp; Millwork</t>
  </si>
  <si>
    <t>Cement Masons' Local 592</t>
  </si>
  <si>
    <t>Central Clay Products</t>
  </si>
  <si>
    <t>Certified Testing Laboratories</t>
  </si>
  <si>
    <t>CFI Sales &amp; Service Inc</t>
  </si>
  <si>
    <t>Champion Flooring LLC</t>
  </si>
  <si>
    <t>Chapingo Tree Care Specialists</t>
  </si>
  <si>
    <t>Chapman Supply Inc</t>
  </si>
  <si>
    <t>Chase Bank</t>
  </si>
  <si>
    <t>ChemDry Northeast</t>
  </si>
  <si>
    <t>Chesco Coring &amp; Cutting Inc</t>
  </si>
  <si>
    <t>Chimney Charm Inc</t>
  </si>
  <si>
    <t>Chris Musto Tile &amp; Hardwood</t>
  </si>
  <si>
    <t>Christian Saunders Real Estate</t>
  </si>
  <si>
    <t>Chubb Insurance</t>
  </si>
  <si>
    <t>City of Allentown</t>
  </si>
  <si>
    <t>City of Bethlehem</t>
  </si>
  <si>
    <t>City of Hazleton</t>
  </si>
  <si>
    <t>City of Wilkes-Barre</t>
  </si>
  <si>
    <t>City of Ranson</t>
  </si>
  <si>
    <t>City of Scranton</t>
  </si>
  <si>
    <t>CJM Painting &amp; Drywall</t>
  </si>
  <si>
    <t>Classic Fire Protection</t>
  </si>
  <si>
    <t>Clean Air Technologies Inc</t>
  </si>
  <si>
    <t>Cleveland Brothers Equip Co</t>
  </si>
  <si>
    <t>Cohen Seglias Pallas Greenhall</t>
  </si>
  <si>
    <t>Coleman Consulting Services</t>
  </si>
  <si>
    <t>Collector of Taxes</t>
  </si>
  <si>
    <t>Collinson Inc</t>
  </si>
  <si>
    <t>Colony Hardware Corporation</t>
  </si>
  <si>
    <t>Colours 33</t>
  </si>
  <si>
    <t>Columbia Excavating LLC</t>
  </si>
  <si>
    <t>Columbia Lockers</t>
  </si>
  <si>
    <t>Comcast</t>
  </si>
  <si>
    <t>Commonwealth of PA BMV</t>
  </si>
  <si>
    <t>Complete Lawncare and</t>
  </si>
  <si>
    <t>Concrete Cutting Systems</t>
  </si>
  <si>
    <t>Concrete Form Rental Corp</t>
  </si>
  <si>
    <t>Concrete Texturing Tool&amp;Supply</t>
  </si>
  <si>
    <t>Concrete Washout Solutions</t>
  </si>
  <si>
    <t>Condron Sweda Advertising</t>
  </si>
  <si>
    <t>Construction Materials Group</t>
  </si>
  <si>
    <t>R. Conte Paving &amp; Construction</t>
  </si>
  <si>
    <t>Contexture Window Shades</t>
  </si>
  <si>
    <t>Conver Construction</t>
  </si>
  <si>
    <t>Coolbaugh Township</t>
  </si>
  <si>
    <t>Centre Concrete Northeast LLC</t>
  </si>
  <si>
    <t>Cooper Electric</t>
  </si>
  <si>
    <t>Cooper Schall &amp; Levy</t>
  </si>
  <si>
    <t>Copyfax</t>
  </si>
  <si>
    <t>Corado's Services LLC</t>
  </si>
  <si>
    <t>Cosgroves North End Plumbing</t>
  </si>
  <si>
    <t>Costantino Dumpers &amp; Junkers</t>
  </si>
  <si>
    <t>Countryside Conservancy</t>
  </si>
  <si>
    <t>CP Rankin Inc</t>
  </si>
  <si>
    <t>Crest Flooring Inc</t>
  </si>
  <si>
    <t>Crowley Lightning Protection</t>
  </si>
  <si>
    <t>Cryo Associates Inc</t>
  </si>
  <si>
    <t>Crystal Clear Spring Water Co</t>
  </si>
  <si>
    <t>CT Corporation</t>
  </si>
  <si>
    <t>Curecrete Distribution Inc</t>
  </si>
  <si>
    <t>Custom Exterior Systems Inc</t>
  </si>
  <si>
    <t>Czachor Electric</t>
  </si>
  <si>
    <t>D &amp; L Weld Inc</t>
  </si>
  <si>
    <t>D&amp;M Construction Unlimited Inc</t>
  </si>
  <si>
    <t>D.A. Black Company</t>
  </si>
  <si>
    <t>DAN-BER Concrete &amp; Supply Inc</t>
  </si>
  <si>
    <t>Dancheck Inc</t>
  </si>
  <si>
    <t>Dan Guinther Plumbing&amp;Heating</t>
  </si>
  <si>
    <t>Danny Portanova's Body Shop</t>
  </si>
  <si>
    <t>Dante Guzzi Engineering</t>
  </si>
  <si>
    <t>Datom Products Inc</t>
  </si>
  <si>
    <t>The David Round Company</t>
  </si>
  <si>
    <t>Deihl Vault &amp; Precast Inc</t>
  </si>
  <si>
    <t>Delta Contracting Services Inc</t>
  </si>
  <si>
    <t>AJ Demor &amp; Sons Inc</t>
  </si>
  <si>
    <t>Dempsey Uniform &amp; Linen Supply</t>
  </si>
  <si>
    <t>Derman Associates</t>
  </si>
  <si>
    <t>DeSavino &amp; Sons Inc</t>
  </si>
  <si>
    <t>Design Managemnent Group</t>
  </si>
  <si>
    <t>D.H. Griffin Wrecking Co</t>
  </si>
  <si>
    <t>hh2 Cloud Services</t>
  </si>
  <si>
    <t>Dirlam Bros. Lumber Co Inc</t>
  </si>
  <si>
    <t>DISA Global Solutions</t>
  </si>
  <si>
    <t>Disaster Blaster</t>
  </si>
  <si>
    <t>Diversified Fall Protection</t>
  </si>
  <si>
    <t>DJM Design CAD &amp; Coordination</t>
  </si>
  <si>
    <t>Debi Saunders</t>
  </si>
  <si>
    <t>DL Couch</t>
  </si>
  <si>
    <t>D L Kropf Welding LLC</t>
  </si>
  <si>
    <t>DL Morgan Jr. Inc.</t>
  </si>
  <si>
    <t>DMI Inc.</t>
  </si>
  <si>
    <t>Dock &amp; Door National LLC</t>
  </si>
  <si>
    <t>Dodge Construction Network</t>
  </si>
  <si>
    <t>Dodge Data and Analytics</t>
  </si>
  <si>
    <t>Douglas Explosives Inc</t>
  </si>
  <si>
    <t>Acme Drapemaster</t>
  </si>
  <si>
    <t>DRC Acquisitions Inc</t>
  </si>
  <si>
    <t>Pro-Cut Construction Services</t>
  </si>
  <si>
    <t>Duggan and Marcon</t>
  </si>
  <si>
    <t>Dunmore Lumber Company</t>
  </si>
  <si>
    <t>Dunmore Roofing &amp; Supply Co</t>
  </si>
  <si>
    <t>DxDempsey</t>
  </si>
  <si>
    <t>E&amp;R Roofing</t>
  </si>
  <si>
    <t>EarthCam Inc</t>
  </si>
  <si>
    <t>Earth Engineering Inc</t>
  </si>
  <si>
    <t>MARCC Funds</t>
  </si>
  <si>
    <t>East Coast Concrete Specialtie</t>
  </si>
  <si>
    <t>Eastern Electrical Testing</t>
  </si>
  <si>
    <t>East End Auto Sales &amp; Service</t>
  </si>
  <si>
    <t>Eastern Lift Truck Company</t>
  </si>
  <si>
    <t>Eastern Millwork</t>
  </si>
  <si>
    <t>Eastern PA Laborers</t>
  </si>
  <si>
    <t>East Penn Pavement Company</t>
  </si>
  <si>
    <t>Eastern Roofing Systems</t>
  </si>
  <si>
    <t>Eastern Steel Constructors Inc</t>
  </si>
  <si>
    <t>Eclipse Concrete Pumping Inc</t>
  </si>
  <si>
    <t>E- COLLECT</t>
  </si>
  <si>
    <t>Electronic Collection Plus PA</t>
  </si>
  <si>
    <t>ECS Mid Atlantic LLC</t>
  </si>
  <si>
    <t>Eddie's Excavating</t>
  </si>
  <si>
    <t>Edwards Concrete</t>
  </si>
  <si>
    <t>Edwards Mechanical Contractors</t>
  </si>
  <si>
    <t>EFCO Corp</t>
  </si>
  <si>
    <t>J C Ehrlich Company Inc</t>
  </si>
  <si>
    <t>Elan Financial Services</t>
  </si>
  <si>
    <t>ELC Manufacturing Co</t>
  </si>
  <si>
    <t>Electronic Renaissance Corp</t>
  </si>
  <si>
    <t>Elements Contracting LLC</t>
  </si>
  <si>
    <t>Elite Mechanical &amp; Welding</t>
  </si>
  <si>
    <t>Elite Storage Products, LLC.</t>
  </si>
  <si>
    <t>EMH Contracting LLC</t>
  </si>
  <si>
    <t>Endler Architecture</t>
  </si>
  <si>
    <t>ENG Empowering BIM Technology</t>
  </si>
  <si>
    <t>Engineered Building Systems</t>
  </si>
  <si>
    <t>Engle Concrete &amp; Reinforcing</t>
  </si>
  <si>
    <t>Enviroscan Inc</t>
  </si>
  <si>
    <t>Enviromental Service Corp</t>
  </si>
  <si>
    <t>Eastern Penn Supply Company</t>
  </si>
  <si>
    <t>Erie Materials</t>
  </si>
  <si>
    <t>Eshbach Brothers, LP</t>
  </si>
  <si>
    <t>ESP Concrete Pumping Inc</t>
  </si>
  <si>
    <t>Eureka Metal &amp; Glass Services</t>
  </si>
  <si>
    <t>EV-CO Tree Service Inc</t>
  </si>
  <si>
    <t>Evervue USA Inc</t>
  </si>
  <si>
    <t>Executive Forum Leigh Valley</t>
  </si>
  <si>
    <t>F&amp;L Doors</t>
  </si>
  <si>
    <t>Fabcon Precast</t>
  </si>
  <si>
    <t>Fabcor Inc</t>
  </si>
  <si>
    <t>Fairborn Equipment</t>
  </si>
  <si>
    <t>Falcon Oil</t>
  </si>
  <si>
    <t>Fancy Parsley</t>
  </si>
  <si>
    <t>Farnham and Associates Inc</t>
  </si>
  <si>
    <t>Fastenal Company</t>
  </si>
  <si>
    <t>Fastsigns</t>
  </si>
  <si>
    <t>Fastsigns of Winchester</t>
  </si>
  <si>
    <t>Federal Insurance Company</t>
  </si>
  <si>
    <t>Federal Express Corporation</t>
  </si>
  <si>
    <t>Fehlinger Construction Group</t>
  </si>
  <si>
    <t>Ferguson Enterprises Inc</t>
  </si>
  <si>
    <t>Ferguson Waterworks</t>
  </si>
  <si>
    <t>Fero Corp.</t>
  </si>
  <si>
    <t>Fetchen Sheet Metal</t>
  </si>
  <si>
    <t>Finishing Systems Inc</t>
  </si>
  <si>
    <t>First Choice Systems&amp;Solutions</t>
  </si>
  <si>
    <t>First Penn-Pacific Life Insur</t>
  </si>
  <si>
    <t>Leland L Fisher Inc</t>
  </si>
  <si>
    <t>Five Star Equipment Inc</t>
  </si>
  <si>
    <t>FlameOFF Coating Inc</t>
  </si>
  <si>
    <t>FleetPride</t>
  </si>
  <si>
    <t>Flemington Instrument Company</t>
  </si>
  <si>
    <t>Floor Coating Etc Inc</t>
  </si>
  <si>
    <t>Florline Group</t>
  </si>
  <si>
    <t>FMI Corporation</t>
  </si>
  <si>
    <t>Forms Fulfillment Center-Forms</t>
  </si>
  <si>
    <t>Forrester Environmental</t>
  </si>
  <si>
    <t>Foundation Building Materials</t>
  </si>
  <si>
    <t>Four Winds Concrete</t>
  </si>
  <si>
    <t>FR Beinke Wrecking Inc</t>
  </si>
  <si>
    <t>FRC Company</t>
  </si>
  <si>
    <t>Freestate Baltimore LLC</t>
  </si>
  <si>
    <t>Frontier</t>
  </si>
  <si>
    <t>FS Industries</t>
  </si>
  <si>
    <t>Fulmer's Storage Trailer Inc</t>
  </si>
  <si>
    <t>G &amp; S Containers Inc</t>
  </si>
  <si>
    <t>GAI Consultants Inc</t>
  </si>
  <si>
    <t>Galdieri Electrical Dist Co</t>
  </si>
  <si>
    <t>Gary's Auto Sales LLC</t>
  </si>
  <si>
    <t>Gatti Morrison Conc &amp; Masonry</t>
  </si>
  <si>
    <t>Gaudelli Bros Inc</t>
  </si>
  <si>
    <t>GC Electric Company, Inc</t>
  </si>
  <si>
    <t>GC Fire Protection</t>
  </si>
  <si>
    <t>Geisinger Health Systems</t>
  </si>
  <si>
    <t>Geisinger Health Foundation</t>
  </si>
  <si>
    <t>MARCC Trust Funds</t>
  </si>
  <si>
    <t>Genfare, LLC</t>
  </si>
  <si>
    <t>Genflex Roofing Systems</t>
  </si>
  <si>
    <t>General Steel Corporation</t>
  </si>
  <si>
    <t>Georgetti Painting &amp; Son Inc</t>
  </si>
  <si>
    <t>Geo-Science Engineering</t>
  </si>
  <si>
    <t>Gerdau Ameristeel</t>
  </si>
  <si>
    <t>Giant Floor &amp; Wall Covering</t>
  </si>
  <si>
    <t>Gilboy Automotive Group Inc</t>
  </si>
  <si>
    <t>Gleco Paint Inc</t>
  </si>
  <si>
    <t>Glen Oak Country Club</t>
  </si>
  <si>
    <t>Glen Summit Springs Water</t>
  </si>
  <si>
    <t>Golden Installations</t>
  </si>
  <si>
    <t>Goods Tree &amp; Lawn Care Inc</t>
  </si>
  <si>
    <t>Gotta Go Potties</t>
  </si>
  <si>
    <t>Gracie Lain Design</t>
  </si>
  <si>
    <t>Graham Architectural Products</t>
  </si>
  <si>
    <t>Grainger</t>
  </si>
  <si>
    <t>Grand Rental Station</t>
  </si>
  <si>
    <t>The Greater Scranton</t>
  </si>
  <si>
    <t>GPI Greenman-Pedersen Inc</t>
  </si>
  <si>
    <t>Stalls by Greg Stahl LLC</t>
  </si>
  <si>
    <t>Ground Penetrating Radar</t>
  </si>
  <si>
    <t>Guardian</t>
  </si>
  <si>
    <t>Guman's Welding Inc</t>
  </si>
  <si>
    <t>Gunite Specialists</t>
  </si>
  <si>
    <t>H&amp;N Landscaping</t>
  </si>
  <si>
    <t>HAB-PPT</t>
  </si>
  <si>
    <t>Hafer Equipment</t>
  </si>
  <si>
    <t>Hafner &amp; Son Inc</t>
  </si>
  <si>
    <t>The H&amp;K Group</t>
  </si>
  <si>
    <t>Hale Trailer Brake &amp; Wheel Inc</t>
  </si>
  <si>
    <t>Hanover Township</t>
  </si>
  <si>
    <t>Heidelberg Materials Northeast</t>
  </si>
  <si>
    <t>Harlan Electrical Comnpany Inc</t>
  </si>
  <si>
    <t>Robert P Harrington Inc</t>
  </si>
  <si>
    <t>Barker Steel LLC</t>
  </si>
  <si>
    <t>Haun Welding Svcs</t>
  </si>
  <si>
    <t>Hazleton Quarry</t>
  </si>
  <si>
    <t>HAZTEK Inc</t>
  </si>
  <si>
    <t>HB Frazer Company - PA</t>
  </si>
  <si>
    <t>Builders Hardware &amp; Specialty</t>
  </si>
  <si>
    <t>HC Quality Doors</t>
  </si>
  <si>
    <t>Health &amp; Welfare Fund</t>
  </si>
  <si>
    <t>Heavy &amp; Highway Const Workers</t>
  </si>
  <si>
    <t>Heiston Supply</t>
  </si>
  <si>
    <t>HEI Window Fashions</t>
  </si>
  <si>
    <t>Frank N Henry</t>
  </si>
  <si>
    <t>Hercules Bolt Company</t>
  </si>
  <si>
    <t>Herre Bros Inc</t>
  </si>
  <si>
    <t>B Herr Excavating</t>
  </si>
  <si>
    <t>Herron Lumber Co</t>
  </si>
  <si>
    <t>Herr Signal &amp; Lighting Co</t>
  </si>
  <si>
    <t>Hershocks Inc</t>
  </si>
  <si>
    <t>Hess Inc</t>
  </si>
  <si>
    <t>Highmark Blue Shield</t>
  </si>
  <si>
    <t>High Mountain Hardware Inc</t>
  </si>
  <si>
    <t>Highland Tank &amp; Manufacturing</t>
  </si>
  <si>
    <t>Hilltop Quarry</t>
  </si>
  <si>
    <t>Hilti Inc</t>
  </si>
  <si>
    <t>Hi-Terch Flooring Inc</t>
  </si>
  <si>
    <t>Holt Lumber</t>
  </si>
  <si>
    <t>Homestead Plumbing</t>
  </si>
  <si>
    <t>Hopson Specialty Systems</t>
  </si>
  <si>
    <t>Hostetter Supply Co Inc</t>
  </si>
  <si>
    <t>Houck &amp; Company Inc</t>
  </si>
  <si>
    <t>Healthcare Rev Rec Group LLC</t>
  </si>
  <si>
    <t>Hudak Waterproofing Company</t>
  </si>
  <si>
    <t>Hughes Network Systems LLC</t>
  </si>
  <si>
    <t>The Hunley Group LLC</t>
  </si>
  <si>
    <t>Hunt Engineers Architects &amp;</t>
  </si>
  <si>
    <t>Icon Inc</t>
  </si>
  <si>
    <t>Ideal Shield</t>
  </si>
  <si>
    <t>Imperial Stone Paving LLC</t>
  </si>
  <si>
    <t>Independence Interior Products</t>
  </si>
  <si>
    <t>Inner City Steel</t>
  </si>
  <si>
    <t>Inpro</t>
  </si>
  <si>
    <t>Integral Building &amp; Design</t>
  </si>
  <si>
    <t>Interstate Road Management</t>
  </si>
  <si>
    <t>Interstate Safety Service Inc</t>
  </si>
  <si>
    <t>ISN Software Corporation</t>
  </si>
  <si>
    <t>J&amp;E Sheet Metal</t>
  </si>
  <si>
    <t>J&amp;R Transport Inc</t>
  </si>
  <si>
    <t>J&amp;Z Professional Services LLC</t>
  </si>
  <si>
    <t>JAE Elite Steel LLC</t>
  </si>
  <si>
    <t>Jaworski Sign Co</t>
  </si>
  <si>
    <t>JCH Metalwors</t>
  </si>
  <si>
    <t>J David Allen and Son Photogr</t>
  </si>
  <si>
    <t>J Dylan Concrete Inc</t>
  </si>
  <si>
    <t>Jeronimo Electric Inc</t>
  </si>
  <si>
    <t>Jerry Coyne Electrical</t>
  </si>
  <si>
    <t>Jesse G's Nursery</t>
  </si>
  <si>
    <t>John Ring CPA</t>
  </si>
  <si>
    <t>Johnson College</t>
  </si>
  <si>
    <t>Johnson Controls</t>
  </si>
  <si>
    <t>HK Jones &amp; Son Inc</t>
  </si>
  <si>
    <t>Jordan's Flooring Inc</t>
  </si>
  <si>
    <t>Jordan's Towing LLC</t>
  </si>
  <si>
    <t>Joyce Electrical Inc</t>
  </si>
  <si>
    <t>Judge Lumber</t>
  </si>
  <si>
    <t>JVI Group Inc.</t>
  </si>
  <si>
    <t>JWI Construction LLC</t>
  </si>
  <si>
    <t>Kanuik Oil Company</t>
  </si>
  <si>
    <t>Kelley Bros</t>
  </si>
  <si>
    <t>Kelly's Collision</t>
  </si>
  <si>
    <t>Kevin Worldwide</t>
  </si>
  <si>
    <t>Keystone Auto Door Enterprises</t>
  </si>
  <si>
    <t>Keystone Block &amp; Supply</t>
  </si>
  <si>
    <t>Keystone Container Service</t>
  </si>
  <si>
    <t>Keystone Precision Instruments</t>
  </si>
  <si>
    <t>Keystone Propane Services</t>
  </si>
  <si>
    <t>Keystone Concrete Cutting</t>
  </si>
  <si>
    <t>Keystone Steel Fabricators Inc</t>
  </si>
  <si>
    <t>Keystone State Glass</t>
  </si>
  <si>
    <t>Keystone Structural Group</t>
  </si>
  <si>
    <t>Key Trucking</t>
  </si>
  <si>
    <t>King Concrete Pumping LLC</t>
  </si>
  <si>
    <t>Kingspan Insulated Panels Inc</t>
  </si>
  <si>
    <t>The Kirkman Oliver Company</t>
  </si>
  <si>
    <t>KLE Construction</t>
  </si>
  <si>
    <t>Kloppmann Architects</t>
  </si>
  <si>
    <t>Knowlton &amp; Sons Construction</t>
  </si>
  <si>
    <t>Komline Sanderson</t>
  </si>
  <si>
    <t>Kone Cranes Inc</t>
  </si>
  <si>
    <t>Kost Tire &amp; Muffler</t>
  </si>
  <si>
    <t>Kraus Commercial Roofing Inc</t>
  </si>
  <si>
    <t>Kreitz Construction Services</t>
  </si>
  <si>
    <t>Kriger Construction Inc</t>
  </si>
  <si>
    <t>Kuecker Pulse Integration</t>
  </si>
  <si>
    <t>Kuzans Hardware</t>
  </si>
  <si>
    <t>KwikBond Polymers</t>
  </si>
  <si>
    <t>KW Installations</t>
  </si>
  <si>
    <t>L&amp;L Construction Inc</t>
  </si>
  <si>
    <t>L&amp;W Supply Corporation</t>
  </si>
  <si>
    <t>Lab -Design</t>
  </si>
  <si>
    <t>LIUNA Training of Eastern PA</t>
  </si>
  <si>
    <t>LaBella Associates</t>
  </si>
  <si>
    <t>Laborers Local 158 Pension Fd</t>
  </si>
  <si>
    <t>Laborers Local 1174</t>
  </si>
  <si>
    <t>Lackawanna Printing Co</t>
  </si>
  <si>
    <t>Laminar Flow Inc</t>
  </si>
  <si>
    <t>Lane's Crane Service</t>
  </si>
  <si>
    <t>Larson Lightning Protection</t>
  </si>
  <si>
    <t>Latcon</t>
  </si>
  <si>
    <t>Lowe's Business Acct/GECRB</t>
  </si>
  <si>
    <t>LCP Tracker Inc</t>
  </si>
  <si>
    <t>Lead Car Chevrolet</t>
  </si>
  <si>
    <t>Leber Electric Inc</t>
  </si>
  <si>
    <t>Lee Electric Supply Co Inc</t>
  </si>
  <si>
    <t>Lehigh Construction Sales Co</t>
  </si>
  <si>
    <t>Lehigh Construction Supply Co</t>
  </si>
  <si>
    <t>Level A Underground Solutions</t>
  </si>
  <si>
    <t>LA Lewis Inc</t>
  </si>
  <si>
    <t>Lewis Stucco &amp; Exteriors LLC</t>
  </si>
  <si>
    <t>Lezzer Lumber</t>
  </si>
  <si>
    <t>Liberty Excavators Inc</t>
  </si>
  <si>
    <t>Ligchine</t>
  </si>
  <si>
    <t>Little Washington Fabricators</t>
  </si>
  <si>
    <t>Livengood Excavators</t>
  </si>
  <si>
    <t>Longs Welding and Fabrication</t>
  </si>
  <si>
    <t>Lorton Stone LLC</t>
  </si>
  <si>
    <t>Lightning Protection Systems</t>
  </si>
  <si>
    <t>LR Costanzo Company Inc</t>
  </si>
  <si>
    <t>Ludowici Roof Tile</t>
  </si>
  <si>
    <t>LV Industrial Holdings LLC</t>
  </si>
  <si>
    <t>LVPG - Pocono Occupational Med</t>
  </si>
  <si>
    <t>HT Lyons</t>
  </si>
  <si>
    <t>M Abraham Flooring</t>
  </si>
  <si>
    <t>Mac Sign Systems</t>
  </si>
  <si>
    <t>Manufacturers &amp; Employers Asso</t>
  </si>
  <si>
    <t>Marathon Iron Works Inc</t>
  </si>
  <si>
    <t>Marblelife</t>
  </si>
  <si>
    <t>Marc Bowen PE</t>
  </si>
  <si>
    <t>Mariotti Building Products</t>
  </si>
  <si>
    <t>Mark Whitehead Electrical</t>
  </si>
  <si>
    <t>Marlin Business Bank</t>
  </si>
  <si>
    <t>MAR-Paul Inc</t>
  </si>
  <si>
    <t>Marr Development Inc</t>
  </si>
  <si>
    <t>Marshall Industrial Tech</t>
  </si>
  <si>
    <t>BA Martin Welding LLC</t>
  </si>
  <si>
    <t>Martin Rogers Engineering</t>
  </si>
  <si>
    <t>Berkley Insurance Company</t>
  </si>
  <si>
    <t>Maryland State Department</t>
  </si>
  <si>
    <t>Masters Concrete Products Inc</t>
  </si>
  <si>
    <t>Masters RMC Inc</t>
  </si>
  <si>
    <t>Masters Transport LLC</t>
  </si>
  <si>
    <t>Mavrik Inc</t>
  </si>
  <si>
    <t>MBCI</t>
  </si>
  <si>
    <t>McCarthy Tires</t>
  </si>
  <si>
    <t>CBIZ Inc</t>
  </si>
  <si>
    <t>McDal Corporation</t>
  </si>
  <si>
    <t>McDonald's Greenthumb</t>
  </si>
  <si>
    <t>MC Fire Protection</t>
  </si>
  <si>
    <t>McGregor Industries</t>
  </si>
  <si>
    <t>McLaren Engineering Group</t>
  </si>
  <si>
    <t>McMaster Carr</t>
  </si>
  <si>
    <t>MDC Systems</t>
  </si>
  <si>
    <t>MD Steel</t>
  </si>
  <si>
    <t>MedExpress Urgent Care PC</t>
  </si>
  <si>
    <t>Medico Construction Equipment</t>
  </si>
  <si>
    <t>Mesko Glass &amp; Mirror Co Inc</t>
  </si>
  <si>
    <t>Mesko Glass Co Inc</t>
  </si>
  <si>
    <t>Mesko Glass Co</t>
  </si>
  <si>
    <t>Mesko Glass &amp; Mirror Co, Inc</t>
  </si>
  <si>
    <t>MET-ED</t>
  </si>
  <si>
    <t>Metlife</t>
  </si>
  <si>
    <t>DAR LLC</t>
  </si>
  <si>
    <t>Michael Anthony Sign Design</t>
  </si>
  <si>
    <t>RE Michel Co Inc</t>
  </si>
  <si>
    <t>Michels Construction Inc</t>
  </si>
  <si>
    <t>Micro-Clean</t>
  </si>
  <si>
    <t>Mid Atlantic Security Solution</t>
  </si>
  <si>
    <t>Midlantic Engineering</t>
  </si>
  <si>
    <t>Mid Valley Contracting Service</t>
  </si>
  <si>
    <t>Mike Bevilacqua Sheet Metal</t>
  </si>
  <si>
    <t>Milnes Engineering</t>
  </si>
  <si>
    <t>MilSpec Industries</t>
  </si>
  <si>
    <t>MKM Weatherstripping</t>
  </si>
  <si>
    <t>Mitchell Knorr Contracting</t>
  </si>
  <si>
    <t>Mike Muir</t>
  </si>
  <si>
    <t>Mobile Mini Storage Solutions</t>
  </si>
  <si>
    <t>Mobile Modular Management Corp</t>
  </si>
  <si>
    <t>Modernfold</t>
  </si>
  <si>
    <t>Modern Handling Equipment Co</t>
  </si>
  <si>
    <t>Modern Precast Concrete</t>
  </si>
  <si>
    <t>Modernfold Styles Inc</t>
  </si>
  <si>
    <t>Molded Fiber Glass-Galileo</t>
  </si>
  <si>
    <t>Monroe Couty Conservation Dist</t>
  </si>
  <si>
    <t>Morgan-Francis</t>
  </si>
  <si>
    <t>The Morning Call</t>
  </si>
  <si>
    <t>Morse-Collins Inc</t>
  </si>
  <si>
    <t>Motorworld Automotive Group</t>
  </si>
  <si>
    <t>Mountain Energy Services</t>
  </si>
  <si>
    <t>Mountaintop Masonry</t>
  </si>
  <si>
    <t>Mt. Zion Material Handling Eq</t>
  </si>
  <si>
    <t>Multi Service Technology</t>
  </si>
  <si>
    <t>Murphy Lumber</t>
  </si>
  <si>
    <t>MW Welding &amp; Fabricating</t>
  </si>
  <si>
    <t>NAES Power Contractors</t>
  </si>
  <si>
    <t>North American Millwright</t>
  </si>
  <si>
    <t>Nationwide Insurance</t>
  </si>
  <si>
    <t>Northeast Architectural</t>
  </si>
  <si>
    <t>Northeastern Maintenance LLC</t>
  </si>
  <si>
    <t>Northeastern PA Chapter of AIA</t>
  </si>
  <si>
    <t>NEPA Contractors Association</t>
  </si>
  <si>
    <t>NEPA Concrete &amp; Asphalt</t>
  </si>
  <si>
    <t>NE PA Contractors Assoc</t>
  </si>
  <si>
    <t>NEPA Crane &amp; Hauling</t>
  </si>
  <si>
    <t>Northeast Site Contractors</t>
  </si>
  <si>
    <t>Northeast Steel Products</t>
  </si>
  <si>
    <t>New Age Industries</t>
  </si>
  <si>
    <t>Newell Fuel Service Inc</t>
  </si>
  <si>
    <t>New Enterprise Stone &amp; Lime Co</t>
  </si>
  <si>
    <t>Newport Group Inc</t>
  </si>
  <si>
    <t>Nick Malatesta Construction</t>
  </si>
  <si>
    <t>NIKO Construction Supply</t>
  </si>
  <si>
    <t>Nivert Metal Supply Inc</t>
  </si>
  <si>
    <t>State of New Jersey</t>
  </si>
  <si>
    <t>North American Industries</t>
  </si>
  <si>
    <t>Northern Building Systems Inc</t>
  </si>
  <si>
    <t>Norris McLaughlin &amp; Marcus PA</t>
  </si>
  <si>
    <t>Northeastern Security Systems</t>
  </si>
  <si>
    <t>North End Electric</t>
  </si>
  <si>
    <t>GR Noto Electrical Const</t>
  </si>
  <si>
    <t>Nova Crete</t>
  </si>
  <si>
    <t>NS Corporation</t>
  </si>
  <si>
    <t>Nucor Harris Rebar</t>
  </si>
  <si>
    <t>Nunzis Advertising Specialties</t>
  </si>
  <si>
    <t>Nycom Inc</t>
  </si>
  <si>
    <t>NYS Unemployment Insurance</t>
  </si>
  <si>
    <t>Nystrom Inc</t>
  </si>
  <si>
    <t>Occupational Health Centers</t>
  </si>
  <si>
    <t>Overhard Door Company</t>
  </si>
  <si>
    <t>Liberty Mutual Insurnace</t>
  </si>
  <si>
    <t>Oley Industries Inc</t>
  </si>
  <si>
    <t>Oliver Fire Pro and Security</t>
  </si>
  <si>
    <t>Brian Omps Towing &amp; Repair LLC</t>
  </si>
  <si>
    <t>Vendors Not Receiving 1099s</t>
  </si>
  <si>
    <t>ORE RENTALS</t>
  </si>
  <si>
    <t>Orlan Truss Handling LLC</t>
  </si>
  <si>
    <t>Orlsan Truss Hauling LLC</t>
  </si>
  <si>
    <t>Orr Industries LLC</t>
  </si>
  <si>
    <t>Otis Elevator Company</t>
  </si>
  <si>
    <t>Our Lady of Peace School</t>
  </si>
  <si>
    <t>Overhead Door Corporation</t>
  </si>
  <si>
    <t>Overhead Door of Scranton</t>
  </si>
  <si>
    <t>Overhead Door Co of Reading</t>
  </si>
  <si>
    <t>Over The Top Roof Coating LLC</t>
  </si>
  <si>
    <t>Panhandle Pumping Inc</t>
  </si>
  <si>
    <t>Papke's Custom Repairs LLC</t>
  </si>
  <si>
    <t>Paradigm Roofing</t>
  </si>
  <si>
    <t>Partition Plus Inc.</t>
  </si>
  <si>
    <t>Partner Equipment Rental LLC</t>
  </si>
  <si>
    <t>PA Signs LLC</t>
  </si>
  <si>
    <t>Peak Utility Locators</t>
  </si>
  <si>
    <t>Pearl Meyer &amp; Partners</t>
  </si>
  <si>
    <t>Pella Products Inc</t>
  </si>
  <si>
    <t>Pella Windows &amp; Doors</t>
  </si>
  <si>
    <t>Pena-Plas</t>
  </si>
  <si>
    <t>Pennsylvania American Water</t>
  </si>
  <si>
    <t>Penn Equipment &amp; Tool Corp</t>
  </si>
  <si>
    <t>Penn's Northeast Inc</t>
  </si>
  <si>
    <t>Pennsylvania One Call System</t>
  </si>
  <si>
    <t>Pennoni Associates</t>
  </si>
  <si>
    <t>Pennsylvania Paper &amp; Supply</t>
  </si>
  <si>
    <t>Penn Refrigeration Service</t>
  </si>
  <si>
    <t>Pennsylvania Steel Company Inc</t>
  </si>
  <si>
    <t>Pennsy Supply Inc</t>
  </si>
  <si>
    <t>Pennsylvania Tectonics</t>
  </si>
  <si>
    <t>Peoples Mobile Home</t>
  </si>
  <si>
    <t>PERI Formwork System Inc</t>
  </si>
  <si>
    <t>Perley-Halladay Assoc Inc</t>
  </si>
  <si>
    <t>Petes Garage LLC</t>
  </si>
  <si>
    <t>Petti Pest Control</t>
  </si>
  <si>
    <t>The Procter &amp; Gamble Company</t>
  </si>
  <si>
    <t>PGAL</t>
  </si>
  <si>
    <t>Philadelphia Insurance Company</t>
  </si>
  <si>
    <t>Philly Wide Restoration LLC</t>
  </si>
  <si>
    <t>Pieros Construction Co Inc</t>
  </si>
  <si>
    <t>RE Pierson</t>
  </si>
  <si>
    <t>Pine Knoll Construction</t>
  </si>
  <si>
    <t>Pinnacle Roofing &amp; Sheet Metal</t>
  </si>
  <si>
    <t>PLACE Engineering PLLC</t>
  </si>
  <si>
    <t>Pretty Little Things Cleaning</t>
  </si>
  <si>
    <t>Plymouth Interiors LP</t>
  </si>
  <si>
    <t>PNC Equipment Finance LLC</t>
  </si>
  <si>
    <t>PNC Institutional Investments</t>
  </si>
  <si>
    <t>Pocono Cleaners LLC</t>
  </si>
  <si>
    <t>Pocono Transcrete Inc</t>
  </si>
  <si>
    <t>Polymershapes LLC</t>
  </si>
  <si>
    <t>E D Pons Associates PC</t>
  </si>
  <si>
    <t>Portanova Lawn &amp; Snow</t>
  </si>
  <si>
    <t>Postler &amp; Jaeckle Corporation</t>
  </si>
  <si>
    <t>Postupak Painting</t>
  </si>
  <si>
    <t>Potomac Asphalt</t>
  </si>
  <si>
    <t>Power Engineering Corporation</t>
  </si>
  <si>
    <t>Power Mechanical Corporation</t>
  </si>
  <si>
    <t>Powers &amp; Company Inc</t>
  </si>
  <si>
    <t>Powell's Excavating Inc</t>
  </si>
  <si>
    <t>Powell's Rentals</t>
  </si>
  <si>
    <t>Powell's Sales &amp; Services</t>
  </si>
  <si>
    <t>PPL Electirc Utilities</t>
  </si>
  <si>
    <t>Precision Door Service</t>
  </si>
  <si>
    <t>Precision Concrete Pumping Inc</t>
  </si>
  <si>
    <t>Presray Corporation</t>
  </si>
  <si>
    <t>Print-O-Stat Inc</t>
  </si>
  <si>
    <t>Prism Response LLC</t>
  </si>
  <si>
    <t>PRO4MAX Inc</t>
  </si>
  <si>
    <t>Procore Techologies Inc</t>
  </si>
  <si>
    <t>Professional IT Computer</t>
  </si>
  <si>
    <t>Professional Plus Services Inc</t>
  </si>
  <si>
    <t>Progressive Printing</t>
  </si>
  <si>
    <t>Pro Max Fence Systems</t>
  </si>
  <si>
    <t>ProRez LLC</t>
  </si>
  <si>
    <t>Prudential Life Insurance Co</t>
  </si>
  <si>
    <t>PSI Engineering-Testing-Consul</t>
  </si>
  <si>
    <t>Purestream Inc</t>
  </si>
  <si>
    <t>Purity Systems Inc</t>
  </si>
  <si>
    <t>PW Washo</t>
  </si>
  <si>
    <t>James W Quandel &amp; Sons Inc</t>
  </si>
  <si>
    <t>Rainbow Roofing Co Inc</t>
  </si>
  <si>
    <t>Ralph E. Jones Inc</t>
  </si>
  <si>
    <t>Ramon Worthington Nicolas &amp;</t>
  </si>
  <si>
    <t>RAN Fire Protection Engineerin</t>
  </si>
  <si>
    <t>Raymond &amp; Son Inc</t>
  </si>
  <si>
    <t>Raynor Door Sales</t>
  </si>
  <si>
    <t>RCC Fiber Optic Specialists</t>
  </si>
  <si>
    <t>RCF Group</t>
  </si>
  <si>
    <t>RD Weis LLC</t>
  </si>
  <si>
    <t>Reading Precast</t>
  </si>
  <si>
    <t>Red Hot Welding</t>
  </si>
  <si>
    <t>Reeves Awnings</t>
  </si>
  <si>
    <t>Reeves Rent A John Inc</t>
  </si>
  <si>
    <t>Regal Paint Centers</t>
  </si>
  <si>
    <t>Reilly Associates</t>
  </si>
  <si>
    <t>Reliant Steel Construction</t>
  </si>
  <si>
    <t>Research Tax Crediits LLC</t>
  </si>
  <si>
    <t>Re-Steel Supply Co Inc</t>
  </si>
  <si>
    <t>Re-Steel Supply Co</t>
  </si>
  <si>
    <t>Retrotherm Insulators</t>
  </si>
  <si>
    <t>Reuther Bowen</t>
  </si>
  <si>
    <t>Nicholas C Reuther, PE</t>
  </si>
  <si>
    <t>Revenue Results</t>
  </si>
  <si>
    <t>Rhoads &amp; O'Hara</t>
  </si>
  <si>
    <t>Richard Pedranti Architect</t>
  </si>
  <si>
    <t>Richard Mellow Electrical</t>
  </si>
  <si>
    <t>Riddle Environmental Services</t>
  </si>
  <si>
    <t>Riners Welding &amp; Mechanical</t>
  </si>
  <si>
    <t>Rise Construction</t>
  </si>
  <si>
    <t>Rite-Temp</t>
  </si>
  <si>
    <t>G Ritsick &amp; Sons</t>
  </si>
  <si>
    <t>Riverview Block Inc</t>
  </si>
  <si>
    <t>RJR Fabrication</t>
  </si>
  <si>
    <t>RLE Enterprises</t>
  </si>
  <si>
    <t>RN DeMeck Roof Mgt Service</t>
  </si>
  <si>
    <t>Robert J Becker P E</t>
  </si>
  <si>
    <t>Robinson Steel Company</t>
  </si>
  <si>
    <t>Rockville Fuel &amp; Feed Co Inc</t>
  </si>
  <si>
    <t>Rogers Services</t>
  </si>
  <si>
    <t>Rulon International</t>
  </si>
  <si>
    <t>Rutkoski Fencing Inc</t>
  </si>
  <si>
    <t>S&amp;S Structures</t>
  </si>
  <si>
    <t>S&amp;S Tools &amp; Supplies</t>
  </si>
  <si>
    <t>SA Comunale Co Inc</t>
  </si>
  <si>
    <t>Safelite AutoGlass</t>
  </si>
  <si>
    <t>Safety Services &amp; Consulting</t>
  </si>
  <si>
    <t>Sandra Palone &amp; Associates LLC</t>
  </si>
  <si>
    <t>Santa Parade Inc</t>
  </si>
  <si>
    <t>Sartorius Corporation</t>
  </si>
  <si>
    <t>Savway Carton Forms</t>
  </si>
  <si>
    <t>Say-Core Inc</t>
  </si>
  <si>
    <t>SB Cottone Inc</t>
  </si>
  <si>
    <t>Scandale Associated Builders</t>
  </si>
  <si>
    <t>Schindler Elevator Corp</t>
  </si>
  <si>
    <t>Schrader Architectural Product</t>
  </si>
  <si>
    <t>Scondros Portable Welding</t>
  </si>
  <si>
    <t>Scranton Cleaning LLC</t>
  </si>
  <si>
    <t>Scranton Glass Co.</t>
  </si>
  <si>
    <t>Scranton Craftsmen</t>
  </si>
  <si>
    <t>Scranton Dodge</t>
  </si>
  <si>
    <t>Scranton Electric Heat &amp; Cool</t>
  </si>
  <si>
    <t>The Scranton Plan</t>
  </si>
  <si>
    <t>Scranton Printing Co</t>
  </si>
  <si>
    <t>The Times-Tribune</t>
  </si>
  <si>
    <t>SDA Architects</t>
  </si>
  <si>
    <t>Sean Byrne Construction</t>
  </si>
  <si>
    <t>Pitney Bowes Bank Inc</t>
  </si>
  <si>
    <t>Security Fence Company</t>
  </si>
  <si>
    <t>Selective Insurance of America</t>
  </si>
  <si>
    <t>Serenity Design Group LLC</t>
  </si>
  <si>
    <t>Service Electric Cable TV Inc</t>
  </si>
  <si>
    <t>Set In Stone</t>
  </si>
  <si>
    <t>Shades Unlimited</t>
  </si>
  <si>
    <t>Sharp Energy - Allentown</t>
  </si>
  <si>
    <t>Shenandoah Pumping LLC</t>
  </si>
  <si>
    <t>Shepherd Agency LLC</t>
  </si>
  <si>
    <t>Sherwin Williams</t>
  </si>
  <si>
    <t>Shield Roof Solutions</t>
  </si>
  <si>
    <t>Siemens Industry Inc</t>
  </si>
  <si>
    <t>SIGA Cover Inc</t>
  </si>
  <si>
    <t>Signature Sports Flooring</t>
  </si>
  <si>
    <t>Silentia</t>
  </si>
  <si>
    <t>Simplex Industries Inc</t>
  </si>
  <si>
    <t>SimplifyNEPA</t>
  </si>
  <si>
    <t>Simsona Corp BIM Provider</t>
  </si>
  <si>
    <t>Skelding Electric</t>
  </si>
  <si>
    <t>Skyworks LLC</t>
  </si>
  <si>
    <t>Slusser Bros Trucking &amp; Excav</t>
  </si>
  <si>
    <t>Smart Recycling Inc</t>
  </si>
  <si>
    <t>Smith Miller Associates</t>
  </si>
  <si>
    <t>Mark J Sobeck Roof Consulting</t>
  </si>
  <si>
    <t>Sonco Worldwide</t>
  </si>
  <si>
    <t>South Eastern Mechanical Inc</t>
  </si>
  <si>
    <t>South Shore Contracting Inc</t>
  </si>
  <si>
    <t>Sparcon Associates Inc</t>
  </si>
  <si>
    <t>Spectra Contract Flooring</t>
  </si>
  <si>
    <t>MJ Spott Construction</t>
  </si>
  <si>
    <t>FC Spott Inspection Station</t>
  </si>
  <si>
    <t>Spray Systems Inc</t>
  </si>
  <si>
    <t>Sproul Construction Inc</t>
  </si>
  <si>
    <t>Stainless Solutions LLC</t>
  </si>
  <si>
    <t>Standard Iron Works</t>
  </si>
  <si>
    <t>Standard Awning and Aluminum</t>
  </si>
  <si>
    <t>The Standard Insurance Company</t>
  </si>
  <si>
    <t>SM Stanford Inc</t>
  </si>
  <si>
    <t>Stanley Access Technologies</t>
  </si>
  <si>
    <t>Stantec Consulting Services</t>
  </si>
  <si>
    <t>Stars and Stripes Enterprises</t>
  </si>
  <si>
    <t>NC Stauffer &amp; Sons Inc</t>
  </si>
  <si>
    <t>Steele's Hardware Inc</t>
  </si>
  <si>
    <t>Steel Services LLC</t>
  </si>
  <si>
    <t>Stellar Machine</t>
  </si>
  <si>
    <t>Stenstrom</t>
  </si>
  <si>
    <t>Sterling Glass Inc</t>
  </si>
  <si>
    <t>Steve Shannon Tire &amp; Auto Ctrs</t>
  </si>
  <si>
    <t>St Lukes Hospital</t>
  </si>
  <si>
    <t>St Mary's Villa Nursing Home</t>
  </si>
  <si>
    <t>Stonhard Div of Stoncor Group</t>
  </si>
  <si>
    <t>Michael Straub Photography Inc</t>
  </si>
  <si>
    <t>Stuart Dean Company</t>
  </si>
  <si>
    <t>Stuckeys ProClean Services</t>
  </si>
  <si>
    <t>Summit Drywall Services LLC</t>
  </si>
  <si>
    <t>Sunbelt Rentals Inc</t>
  </si>
  <si>
    <t>Sun Precast Company</t>
  </si>
  <si>
    <t>Surface Specialist LLC</t>
  </si>
  <si>
    <t>Susquehanna Laborers Combined</t>
  </si>
  <si>
    <t>Susquehanna Valley Engineering</t>
  </si>
  <si>
    <t>Susquehanna Nuclear LLC</t>
  </si>
  <si>
    <t>Swift Fence Company</t>
  </si>
  <si>
    <t>Talanca-Alliance Masonry JV</t>
  </si>
  <si>
    <t>Tax Collector</t>
  </si>
  <si>
    <t>Tax Collector Taylor</t>
  </si>
  <si>
    <t>Taylor Oil Company</t>
  </si>
  <si>
    <t>T C Koester</t>
  </si>
  <si>
    <t>Team Erectors Inc</t>
  </si>
  <si>
    <t>TEAM Supply Inc</t>
  </si>
  <si>
    <t>Tech Please</t>
  </si>
  <si>
    <t>Gary L Templin Jr Excavating</t>
  </si>
  <si>
    <t>Terracon Consultants Inc</t>
  </si>
  <si>
    <t>Terra Universal Inc</t>
  </si>
  <si>
    <t>Terreal North America LLC</t>
  </si>
  <si>
    <t>TE Spall and Son</t>
  </si>
  <si>
    <t>Textura Construction Payment</t>
  </si>
  <si>
    <t>Thackray Crane Rental Inc</t>
  </si>
  <si>
    <t>The Agreement Company</t>
  </si>
  <si>
    <t>The Fireplace Shop</t>
  </si>
  <si>
    <t>The Grand Bahama Port Authorit</t>
  </si>
  <si>
    <t>Therm-All</t>
  </si>
  <si>
    <t>Thermal Foams/Syracuse Inc</t>
  </si>
  <si>
    <t>Therm-All Insulation Inc</t>
  </si>
  <si>
    <t>The Urgent Group PA</t>
  </si>
  <si>
    <t>Third Dimension Specialties</t>
  </si>
  <si>
    <t>Thomas Bennett &amp; Hunter Inc</t>
  </si>
  <si>
    <t>Thrasher</t>
  </si>
  <si>
    <t>Three Ring Alarm LLC</t>
  </si>
  <si>
    <t>Thrive LLC</t>
  </si>
  <si>
    <t>Throop Borough</t>
  </si>
  <si>
    <t>Tilden Township Water System</t>
  </si>
  <si>
    <t>Titan Foundation</t>
  </si>
  <si>
    <t>Titan Tree Service Inc</t>
  </si>
  <si>
    <t>Titchener Iron Works</t>
  </si>
  <si>
    <t>TJ Cannon Electrical</t>
  </si>
  <si>
    <t>TJ Equipment Co</t>
  </si>
  <si>
    <t>TLH Consulting LLC</t>
  </si>
  <si>
    <t>TM Morey Home Maintenance</t>
  </si>
  <si>
    <t>T-Mobile</t>
  </si>
  <si>
    <t>Tnemec Company Inc</t>
  </si>
  <si>
    <t>Tom Hesser Chevrolet/BMW</t>
  </si>
  <si>
    <t>Tom Jaworski Sign Systems</t>
  </si>
  <si>
    <t>Tiffany Porreca</t>
  </si>
  <si>
    <t>Align Techologies</t>
  </si>
  <si>
    <t>Topcon Solutions Inc.</t>
  </si>
  <si>
    <t>Torbik Safe &amp; Lock Inc</t>
  </si>
  <si>
    <t>Tower Health</t>
  </si>
  <si>
    <t>Township of Derry</t>
  </si>
  <si>
    <t>Township of Plains</t>
  </si>
  <si>
    <t>Silver Spring Township</t>
  </si>
  <si>
    <t>Springettsbury Township</t>
  </si>
  <si>
    <t>Township of Warminster</t>
  </si>
  <si>
    <t>Township of Whitehall</t>
  </si>
  <si>
    <t>York Township</t>
  </si>
  <si>
    <t>Tracorp</t>
  </si>
  <si>
    <t>Tracy Consulting Engineer Inc</t>
  </si>
  <si>
    <t>Traff-Com Inc</t>
  </si>
  <si>
    <t>Trailer Corner LLC</t>
  </si>
  <si>
    <t>Training Fund</t>
  </si>
  <si>
    <t>Trailer Superstore</t>
  </si>
  <si>
    <t>Transport Planning &amp; Services</t>
  </si>
  <si>
    <t>Trauner Consulting Services</t>
  </si>
  <si>
    <t>Travelers CL Remittance Center</t>
  </si>
  <si>
    <t>Trench Drain Systems</t>
  </si>
  <si>
    <t>Trenchtech Inc</t>
  </si>
  <si>
    <t>Trenchtech of Maryland</t>
  </si>
  <si>
    <t>Trevdan Building Supply</t>
  </si>
  <si>
    <t>Triad Engineering Inc</t>
  </si>
  <si>
    <t>Triangle Fastener Coporation</t>
  </si>
  <si>
    <t>Tri-Boro Construction Supplies</t>
  </si>
  <si>
    <t>Tri County Lumber</t>
  </si>
  <si>
    <t>Tri-County Building Supplies</t>
  </si>
  <si>
    <t>Trinity Commercial Sales Inc</t>
  </si>
  <si>
    <t>Tri - State Financial Group</t>
  </si>
  <si>
    <t>Tristate Railing &amp; Fabrication</t>
  </si>
  <si>
    <t>Troianiello Masonry Inc</t>
  </si>
  <si>
    <t>Troy Mechanical Inc</t>
  </si>
  <si>
    <t>True Line Coring &amp; Cutting MD</t>
  </si>
  <si>
    <t>TruGreen Processing Center</t>
  </si>
  <si>
    <t>Truskey Inc</t>
  </si>
  <si>
    <t>TSI Energy Solutions</t>
  </si>
  <si>
    <t>Tulpehocken Spring</t>
  </si>
  <si>
    <t>Tulpehocken Spring Water</t>
  </si>
  <si>
    <t>Tunkhannock Ford Inc</t>
  </si>
  <si>
    <t>JL Turner Co</t>
  </si>
  <si>
    <t>The Turner Construction Co</t>
  </si>
  <si>
    <t>ULINE Shipping Supply Speciali</t>
  </si>
  <si>
    <t>Ulma Form Works Inc</t>
  </si>
  <si>
    <t>United Inspection Services</t>
  </si>
  <si>
    <t>Universal Manufacturing Corp</t>
  </si>
  <si>
    <t>United Rentals</t>
  </si>
  <si>
    <t>Unistrut</t>
  </si>
  <si>
    <t>United Glass Ventures LLC</t>
  </si>
  <si>
    <t>United Plate Glass Co Inc</t>
  </si>
  <si>
    <t>The United Way of Lacka County</t>
  </si>
  <si>
    <t>Upstate Fire Protection Eng</t>
  </si>
  <si>
    <t>Urban Electrical Contractors</t>
  </si>
  <si>
    <t>US Piping</t>
  </si>
  <si>
    <t>Purchase Power</t>
  </si>
  <si>
    <t>Valley Supply Inc</t>
  </si>
  <si>
    <t>Valley Auto Parts</t>
  </si>
  <si>
    <t>Valued Cleaning Services LLC</t>
  </si>
  <si>
    <t>Valvano Services LLC</t>
  </si>
  <si>
    <t>Van Mor Plastering Co</t>
  </si>
  <si>
    <t>Varsity Inc</t>
  </si>
  <si>
    <t>Vector Security</t>
  </si>
  <si>
    <t>Verizon Pennsylvania LLC</t>
  </si>
  <si>
    <t>Verizon Wireless</t>
  </si>
  <si>
    <t>Viking Steel Erectors</t>
  </si>
  <si>
    <t>Vimco</t>
  </si>
  <si>
    <t>Vision Benefits of America</t>
  </si>
  <si>
    <t>Voitek TV and Appliance</t>
  </si>
  <si>
    <t>Vollers Excavating &amp; Const</t>
  </si>
  <si>
    <t>VWR International</t>
  </si>
  <si>
    <t>RJ Walker Co</t>
  </si>
  <si>
    <t>Walsh Electrical Inc</t>
  </si>
  <si>
    <t>Walters Services Inc</t>
  </si>
  <si>
    <t>The Warko Group</t>
  </si>
  <si>
    <t>Waste Management</t>
  </si>
  <si>
    <t>Weisberg Cummings PC</t>
  </si>
  <si>
    <t>We See Productions</t>
  </si>
  <si>
    <t>Westmatic Corporation</t>
  </si>
  <si>
    <t>West Truckers Franchise LLC</t>
  </si>
  <si>
    <t>West Side Window Cleaning Co</t>
  </si>
  <si>
    <t>WEX Bank</t>
  </si>
  <si>
    <t>White Cap LP</t>
  </si>
  <si>
    <t>Whitehall Township</t>
  </si>
  <si>
    <t>Whitneys Commerical Flooring</t>
  </si>
  <si>
    <t>Wilkes-Barre Materials</t>
  </si>
  <si>
    <t>William J Donovan Company</t>
  </si>
  <si>
    <t>Williams Scotsman Inc</t>
  </si>
  <si>
    <t>Wilson's Asphalt Maintenance</t>
  </si>
  <si>
    <t>Winchester Metals Inc</t>
  </si>
  <si>
    <t>Wind River Environmental LLC</t>
  </si>
  <si>
    <t>Windsor Testing LLC</t>
  </si>
  <si>
    <t>RD Wing Co Inc</t>
  </si>
  <si>
    <t>Winola Ice Co.</t>
  </si>
  <si>
    <t>Witmer Restoration LLC</t>
  </si>
  <si>
    <t>Williams Kinsman Lewis</t>
  </si>
  <si>
    <t>Wm Orr &amp; Sons Inc</t>
  </si>
  <si>
    <t>WO Grubb Crane Rental</t>
  </si>
  <si>
    <t>Wolks Landscaping Inc</t>
  </si>
  <si>
    <t>Womans Resource Center Golf</t>
  </si>
  <si>
    <t>Won Door Corporation</t>
  </si>
  <si>
    <t>Work Safely Mobile Testing</t>
  </si>
  <si>
    <t>Worth &amp; Company Inc</t>
  </si>
  <si>
    <t>West Virginia State Tax Dept</t>
  </si>
  <si>
    <t>Xpress Crane Service</t>
  </si>
  <si>
    <t>Yale Electric Supply Co.</t>
  </si>
  <si>
    <t>Walter N Yoder &amp; Sons Inc</t>
  </si>
  <si>
    <t>Zack Painting Company</t>
  </si>
  <si>
    <t>Brandsafway Services LLC 76</t>
  </si>
  <si>
    <t>Core Cell Energy LLC</t>
  </si>
  <si>
    <t>Design BLD LLC</t>
  </si>
  <si>
    <t>Durable Door</t>
  </si>
  <si>
    <t>Gridiron Steel, Inc.</t>
  </si>
  <si>
    <t>Ira G Steffy &amp; Sons Inc</t>
  </si>
  <si>
    <t>Signature Safety LLC</t>
  </si>
  <si>
    <t>AmeriGlide of Pennsylvania</t>
  </si>
  <si>
    <t>Brdaric Excavating Inc</t>
  </si>
  <si>
    <t>Gene Metschulat Electrical</t>
  </si>
  <si>
    <t>Morris Black Doors &amp; Hardware</t>
  </si>
  <si>
    <t>Pulman Interiors</t>
  </si>
  <si>
    <t>Simrell Media</t>
  </si>
  <si>
    <t>ThyssenKrupp Elevator</t>
  </si>
  <si>
    <t>United Modular Enterprises LLC</t>
  </si>
  <si>
    <t>Wilmer R Schultz Inc</t>
  </si>
  <si>
    <t>2018 Tabler Station LLC</t>
  </si>
  <si>
    <t>Conewago Manufacturing LLC</t>
  </si>
  <si>
    <t>AB Steel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</si>
  <si>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</si>
  <si>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</si>
  <si>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</si>
  <si>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</si>
  <si>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</si>
  <si>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</si>
  <si>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</si>
  <si>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</si>
  <si>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</si>
  <si>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</si>
  <si>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</si>
  <si>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</si>
  <si>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</si>
  <si>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</si>
  <si>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</si>
  <si>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</si>
  <si>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</si>
  <si>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</si>
  <si>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</si>
  <si>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</si>
  <si>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</si>
  <si>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</si>
  <si>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</si>
  <si>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</si>
  <si>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</si>
  <si>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</si>
  <si>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</si>
  <si>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</si>
  <si>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</si>
  <si>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</si>
  <si>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</si>
  <si>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</si>
  <si>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</si>
  <si>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</si>
  <si>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</si>
  <si>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</si>
  <si>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</si>
  <si>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</si>
  <si>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</si>
  <si>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</si>
  <si>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</si>
  <si>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</si>
  <si>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</si>
  <si>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</si>
  <si>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</si>
  <si>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</si>
  <si>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</si>
  <si>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</si>
  <si>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</si>
  <si>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</si>
  <si>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</si>
  <si>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</si>
  <si>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</si>
  <si>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</si>
  <si>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</si>
  <si>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</si>
  <si>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</si>
  <si>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</si>
  <si>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</si>
  <si>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</si>
  <si>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</si>
  <si>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</si>
  <si>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</si>
  <si>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</si>
  <si>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</si>
  <si>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</si>
  <si>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</si>
  <si>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</si>
  <si>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</si>
  <si>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</si>
  <si>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</si>
  <si>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</si>
  <si>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</si>
  <si>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</si>
  <si>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</si>
  <si>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</si>
  <si>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</si>
  <si>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</si>
  <si>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</si>
  <si>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</si>
  <si>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</si>
  <si>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</si>
  <si>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</si>
  <si>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</si>
  <si>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</si>
  <si>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</si>
  <si>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</si>
  <si>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</si>
  <si>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</si>
  <si>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</si>
  <si>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</si>
  <si>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</si>
  <si>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</si>
  <si>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</si>
  <si>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</si>
  <si>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</si>
  <si>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</si>
  <si>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</si>
  <si>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</si>
  <si>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</si>
  <si>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</si>
  <si>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</si>
  <si>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</si>
  <si>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</si>
  <si>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</si>
  <si>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</si>
  <si>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</si>
  <si>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</si>
  <si>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</si>
  <si>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</si>
  <si>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</si>
  <si>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</si>
  <si>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</si>
  <si>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</si>
  <si>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</si>
  <si>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</si>
  <si>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</si>
  <si>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</si>
  <si>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</si>
  <si>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</si>
  <si>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</si>
  <si>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</si>
  <si>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</si>
  <si>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</si>
  <si>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</si>
  <si>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</si>
  <si>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</si>
  <si>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</si>
  <si>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</si>
  <si>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</si>
  <si>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</si>
  <si>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</si>
  <si>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</si>
  <si>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</si>
  <si>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</si>
  <si>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</si>
  <si>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</si>
  <si>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</si>
  <si>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</si>
  <si>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</si>
  <si>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</si>
  <si>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</si>
  <si>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</si>
  <si>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</si>
  <si>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</si>
  <si>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</si>
  <si>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</si>
  <si>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</si>
  <si>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</si>
  <si>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</si>
  <si>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</si>
  <si>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</si>
  <si>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</si>
  <si>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</si>
  <si>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</si>
  <si>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</si>
  <si>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</si>
  <si>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</si>
  <si>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</si>
  <si>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</si>
  <si>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</si>
  <si>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</si>
  <si>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</si>
  <si>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</si>
  <si>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</si>
  <si>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</si>
  <si>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</si>
  <si>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</si>
  <si>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</si>
  <si>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</si>
  <si>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</si>
  <si>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</si>
  <si>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</si>
  <si>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</si>
  <si>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</si>
  <si>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</si>
  <si>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</si>
  <si>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</si>
  <si>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</si>
  <si>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</si>
  <si>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</si>
  <si>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</si>
  <si>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</si>
  <si>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</si>
  <si>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</si>
  <si>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</si>
  <si>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</si>
  <si>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</si>
  <si>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</si>
  <si>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</si>
  <si>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</si>
  <si>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</si>
  <si>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</si>
  <si>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</si>
  <si>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</si>
  <si>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</si>
  <si>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</si>
  <si>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</si>
  <si>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</si>
  <si>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V0205</t>
  </si>
  <si>
    <t>V0206</t>
  </si>
  <si>
    <t>V0207</t>
  </si>
  <si>
    <t>V0209</t>
  </si>
  <si>
    <t>V0210</t>
  </si>
  <si>
    <t>V0211</t>
  </si>
  <si>
    <t>V0212</t>
  </si>
  <si>
    <t>V0213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</si>
  <si>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</si>
  <si>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</si>
  <si>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</si>
  <si>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</si>
  <si>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</si>
  <si>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</si>
  <si>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</si>
  <si>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</si>
  <si>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</si>
  <si>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</si>
  <si>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</si>
  <si>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</si>
  <si>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V0226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</si>
  <si>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</si>
  <si>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</si>
  <si>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</si>
  <si>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</si>
  <si>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</si>
  <si>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</si>
  <si>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</si>
  <si>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</si>
  <si>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</si>
  <si>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</si>
  <si>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</si>
  <si>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</si>
  <si>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</si>
  <si>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</si>
  <si>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</si>
  <si>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</si>
  <si>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</si>
  <si>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</si>
  <si>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</si>
  <si>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</si>
  <si>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</si>
  <si>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</si>
  <si>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</si>
  <si>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</si>
  <si>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</si>
  <si>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</si>
  <si>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</si>
  <si>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</si>
  <si>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</si>
  <si>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</si>
  <si>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</si>
  <si>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</si>
  <si>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</si>
  <si>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</si>
  <si>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</si>
  <si>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</si>
  <si>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</si>
  <si>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</si>
  <si>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</si>
  <si>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</si>
  <si>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</si>
  <si>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</si>
  <si>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</si>
  <si>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</si>
  <si>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</si>
  <si>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</si>
  <si>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</si>
  <si>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</si>
  <si>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</si>
  <si>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</si>
  <si>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</si>
  <si>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</si>
  <si>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</si>
  <si>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</si>
  <si>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</si>
  <si>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</si>
  <si>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</si>
  <si>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</si>
  <si>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</si>
  <si>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</si>
  <si>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</si>
  <si>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</si>
  <si>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</si>
  <si>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</si>
  <si>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</si>
  <si>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</si>
  <si>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</si>
  <si>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</si>
  <si>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</si>
  <si>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</si>
  <si>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</si>
  <si>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</si>
  <si>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</si>
  <si>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V0301</t>
  </si>
  <si>
    <t>V0302</t>
  </si>
  <si>
    <t>V0303</t>
  </si>
  <si>
    <t>V0304</t>
  </si>
  <si>
    <t>V0305</t>
  </si>
  <si>
    <t>V0306</t>
  </si>
  <si>
    <t>V0307</t>
  </si>
  <si>
    <t>V0308</t>
  </si>
  <si>
    <t>V0309</t>
  </si>
  <si>
    <t>V0310</t>
  </si>
  <si>
    <t>V0311</t>
  </si>
  <si>
    <t>V0312</t>
  </si>
  <si>
    <t>V0313</t>
  </si>
  <si>
    <t>V0314</t>
  </si>
  <si>
    <t>V0315</t>
  </si>
  <si>
    <t>V0316</t>
  </si>
  <si>
    <t>V0317</t>
  </si>
  <si>
    <t>V0318</t>
  </si>
  <si>
    <t>V0319</t>
  </si>
  <si>
    <t>V0320</t>
  </si>
  <si>
    <t>V0321</t>
  </si>
  <si>
    <t>V0322</t>
  </si>
  <si>
    <t>V0323</t>
  </si>
  <si>
    <t>V0324</t>
  </si>
  <si>
    <t>V0325</t>
  </si>
  <si>
    <t>V0327</t>
  </si>
  <si>
    <t>V0328</t>
  </si>
  <si>
    <t>V0329</t>
  </si>
  <si>
    <t>V0330</t>
  </si>
  <si>
    <t>V0331</t>
  </si>
  <si>
    <t>V0332</t>
  </si>
  <si>
    <t>V0333</t>
  </si>
  <si>
    <t>V0334</t>
  </si>
  <si>
    <t>V0335</t>
  </si>
  <si>
    <t>V0336</t>
  </si>
  <si>
    <t>V0337</t>
  </si>
  <si>
    <t>V0338</t>
  </si>
  <si>
    <t>V0339</t>
  </si>
  <si>
    <t>V0340</t>
  </si>
  <si>
    <t>V0341</t>
  </si>
  <si>
    <t>V0342</t>
  </si>
  <si>
    <t>V0343</t>
  </si>
  <si>
    <t>V0344</t>
  </si>
  <si>
    <t>V0345</t>
  </si>
  <si>
    <t>V0346</t>
  </si>
  <si>
    <t>V0347</t>
  </si>
  <si>
    <t>V0348</t>
  </si>
  <si>
    <t>V0349</t>
  </si>
  <si>
    <t>V0350</t>
  </si>
  <si>
    <t>V0351</t>
  </si>
  <si>
    <t>V0352</t>
  </si>
  <si>
    <t>V0353</t>
  </si>
  <si>
    <t>V0354</t>
  </si>
  <si>
    <t>V0355</t>
  </si>
  <si>
    <t>V0356</t>
  </si>
  <si>
    <t>V0357</t>
  </si>
  <si>
    <t>V0358</t>
  </si>
  <si>
    <t>V0359</t>
  </si>
  <si>
    <t>V0360</t>
  </si>
  <si>
    <t>V0361</t>
  </si>
  <si>
    <t>V0362</t>
  </si>
  <si>
    <t>V0363</t>
  </si>
  <si>
    <t>V0364</t>
  </si>
  <si>
    <t>V0365</t>
  </si>
  <si>
    <t>V0366</t>
  </si>
  <si>
    <t>V0367</t>
  </si>
  <si>
    <t>V0368</t>
  </si>
  <si>
    <t>V0369</t>
  </si>
  <si>
    <t>V0370</t>
  </si>
  <si>
    <t>V0371</t>
  </si>
  <si>
    <t>V0372</t>
  </si>
  <si>
    <t>V0373</t>
  </si>
  <si>
    <t>V0374</t>
  </si>
  <si>
    <t>V0375</t>
  </si>
  <si>
    <t>V0376</t>
  </si>
  <si>
    <t>V0377</t>
  </si>
  <si>
    <t>V0378</t>
  </si>
  <si>
    <t>V0379</t>
  </si>
  <si>
    <t>V0380</t>
  </si>
  <si>
    <t>V0381</t>
  </si>
  <si>
    <t>V0382</t>
  </si>
  <si>
    <t>V0383</t>
  </si>
  <si>
    <t>V0384</t>
  </si>
  <si>
    <t>V0385</t>
  </si>
  <si>
    <t>V0386</t>
  </si>
  <si>
    <t>V0387</t>
  </si>
  <si>
    <t>V0388</t>
  </si>
  <si>
    <t>V0389</t>
  </si>
  <si>
    <t>V0390</t>
  </si>
  <si>
    <t>V0391</t>
  </si>
  <si>
    <t>V0392</t>
  </si>
  <si>
    <t>V0393</t>
  </si>
  <si>
    <t>V0394</t>
  </si>
  <si>
    <t>V0395</t>
  </si>
  <si>
    <t>V0396</t>
  </si>
  <si>
    <t>V0397</t>
  </si>
  <si>
    <t>V0398</t>
  </si>
  <si>
    <t>V0399</t>
  </si>
  <si>
    <t>V0400</t>
  </si>
  <si>
    <t>V0401</t>
  </si>
  <si>
    <t>V0402</t>
  </si>
  <si>
    <t>V0403</t>
  </si>
  <si>
    <t>V0404</t>
  </si>
  <si>
    <t>V0405</t>
  </si>
  <si>
    <t>V0406</t>
  </si>
  <si>
    <t>V0407</t>
  </si>
  <si>
    <t>V0408</t>
  </si>
  <si>
    <t>V0409</t>
  </si>
  <si>
    <t>V0410</t>
  </si>
  <si>
    <t>V0411</t>
  </si>
  <si>
    <t>V0412</t>
  </si>
  <si>
    <t>V0413</t>
  </si>
  <si>
    <t>V0414</t>
  </si>
  <si>
    <t>V0415</t>
  </si>
  <si>
    <t>V0416</t>
  </si>
  <si>
    <t>V0417</t>
  </si>
  <si>
    <t>V0418</t>
  </si>
  <si>
    <t>V0419</t>
  </si>
  <si>
    <t>V0420</t>
  </si>
  <si>
    <t>V0421</t>
  </si>
  <si>
    <t>V0422</t>
  </si>
  <si>
    <t>V0423</t>
  </si>
  <si>
    <t>V0424</t>
  </si>
  <si>
    <t>V0425</t>
  </si>
  <si>
    <t>V0426</t>
  </si>
  <si>
    <t>V0427</t>
  </si>
  <si>
    <t>V0428</t>
  </si>
  <si>
    <t>V0429</t>
  </si>
  <si>
    <t>V0430</t>
  </si>
  <si>
    <t>V0431</t>
  </si>
  <si>
    <t>V0432</t>
  </si>
  <si>
    <t>V0433</t>
  </si>
  <si>
    <t>V0434</t>
  </si>
  <si>
    <t>V0435</t>
  </si>
  <si>
    <t>V0436</t>
  </si>
  <si>
    <t>V0437</t>
  </si>
  <si>
    <t>V0438</t>
  </si>
  <si>
    <t>V0439</t>
  </si>
  <si>
    <t>V0440</t>
  </si>
  <si>
    <t>V0441</t>
  </si>
  <si>
    <t>V0442</t>
  </si>
  <si>
    <t>V0443</t>
  </si>
  <si>
    <t>V0444</t>
  </si>
  <si>
    <t>V0445</t>
  </si>
  <si>
    <t>V0446</t>
  </si>
  <si>
    <t>V0447</t>
  </si>
  <si>
    <t>V0448</t>
  </si>
  <si>
    <t>V0449</t>
  </si>
  <si>
    <t>V0450</t>
  </si>
  <si>
    <t>V0451</t>
  </si>
  <si>
    <t>V0452</t>
  </si>
  <si>
    <t>V0453</t>
  </si>
  <si>
    <t>V0454</t>
  </si>
  <si>
    <t>V0455</t>
  </si>
  <si>
    <t>V0456</t>
  </si>
  <si>
    <t>V0457</t>
  </si>
  <si>
    <t>V0458</t>
  </si>
  <si>
    <t>V0459</t>
  </si>
  <si>
    <t>V0460</t>
  </si>
  <si>
    <t>V0461</t>
  </si>
  <si>
    <t>V0462</t>
  </si>
  <si>
    <t>V0463</t>
  </si>
  <si>
    <t>V0464</t>
  </si>
  <si>
    <t>V0465</t>
  </si>
  <si>
    <t>V0466</t>
  </si>
  <si>
    <t>V0467</t>
  </si>
  <si>
    <t>V0469</t>
  </si>
  <si>
    <t>V0470</t>
  </si>
  <si>
    <t>V0471</t>
  </si>
  <si>
    <t>V0472</t>
  </si>
  <si>
    <t>V0473</t>
  </si>
  <si>
    <t>V0474</t>
  </si>
  <si>
    <t>V0475</t>
  </si>
  <si>
    <t>V0476</t>
  </si>
  <si>
    <t>V0477</t>
  </si>
  <si>
    <t>V0478</t>
  </si>
  <si>
    <t>V0479</t>
  </si>
  <si>
    <t>V0480</t>
  </si>
  <si>
    <t>V0481</t>
  </si>
  <si>
    <t>V0482</t>
  </si>
  <si>
    <t>V0483</t>
  </si>
  <si>
    <t>V0484</t>
  </si>
  <si>
    <t>V0485</t>
  </si>
  <si>
    <t>V0486</t>
  </si>
  <si>
    <t>V0487</t>
  </si>
  <si>
    <t>V0488</t>
  </si>
  <si>
    <t>V0489</t>
  </si>
  <si>
    <t>V0490</t>
  </si>
  <si>
    <t>V0491</t>
  </si>
  <si>
    <t>V0492</t>
  </si>
  <si>
    <t>V0493</t>
  </si>
  <si>
    <t>V0494</t>
  </si>
  <si>
    <t>V0495</t>
  </si>
  <si>
    <t>V0496</t>
  </si>
  <si>
    <t>V0497</t>
  </si>
  <si>
    <t>V0499</t>
  </si>
  <si>
    <t>V0500</t>
  </si>
  <si>
    <t>V0501</t>
  </si>
  <si>
    <t>V0502</t>
  </si>
  <si>
    <t>V0503</t>
  </si>
  <si>
    <t>V0504</t>
  </si>
  <si>
    <t>V0505</t>
  </si>
  <si>
    <t>V0506</t>
  </si>
  <si>
    <t>V0507</t>
  </si>
  <si>
    <t>V0509</t>
  </si>
  <si>
    <t>V0510</t>
  </si>
  <si>
    <t>V0511</t>
  </si>
  <si>
    <t>V0512</t>
  </si>
  <si>
    <t>V0513</t>
  </si>
  <si>
    <t>V0514</t>
  </si>
  <si>
    <t>V0515</t>
  </si>
  <si>
    <t>V0516</t>
  </si>
  <si>
    <t>V0517</t>
  </si>
  <si>
    <t>V0518</t>
  </si>
  <si>
    <t>V0519</t>
  </si>
  <si>
    <t>V0520</t>
  </si>
  <si>
    <t>V0521</t>
  </si>
  <si>
    <t>V0522</t>
  </si>
  <si>
    <t>V0523</t>
  </si>
  <si>
    <t>V0524</t>
  </si>
  <si>
    <t>V0525</t>
  </si>
  <si>
    <t>V0526</t>
  </si>
  <si>
    <t>V0527</t>
  </si>
  <si>
    <t>V0528</t>
  </si>
  <si>
    <t>V0529</t>
  </si>
  <si>
    <t>V0530</t>
  </si>
  <si>
    <t>V0531</t>
  </si>
  <si>
    <t>V0532</t>
  </si>
  <si>
    <t>V0533</t>
  </si>
  <si>
    <t>V0534</t>
  </si>
  <si>
    <t>V0535</t>
  </si>
  <si>
    <t>V0536</t>
  </si>
  <si>
    <t>V0537</t>
  </si>
  <si>
    <t>V0538</t>
  </si>
  <si>
    <t>V0540</t>
  </si>
  <si>
    <t>V0541</t>
  </si>
  <si>
    <t>V0542</t>
  </si>
  <si>
    <t>V0543</t>
  </si>
  <si>
    <t>V0544</t>
  </si>
  <si>
    <t>V0545</t>
  </si>
  <si>
    <t>V0546</t>
  </si>
  <si>
    <t>V0547</t>
  </si>
  <si>
    <t>V0548</t>
  </si>
  <si>
    <t>V0549</t>
  </si>
  <si>
    <t>V0550</t>
  </si>
  <si>
    <t>V0551</t>
  </si>
  <si>
    <t>V0552</t>
  </si>
  <si>
    <t>V0553</t>
  </si>
  <si>
    <t>V0554</t>
  </si>
  <si>
    <t>V0555</t>
  </si>
  <si>
    <t>V0556</t>
  </si>
  <si>
    <t>V0557</t>
  </si>
  <si>
    <t>V0558</t>
  </si>
  <si>
    <t>V0559</t>
  </si>
  <si>
    <t>V0560</t>
  </si>
  <si>
    <t>V0561</t>
  </si>
  <si>
    <t>V0562</t>
  </si>
  <si>
    <t>V0563</t>
  </si>
  <si>
    <t>V0564</t>
  </si>
  <si>
    <t>V0565</t>
  </si>
  <si>
    <t>V0566</t>
  </si>
  <si>
    <t>V0567</t>
  </si>
  <si>
    <t>V0568</t>
  </si>
  <si>
    <t>V0569</t>
  </si>
  <si>
    <t>V0570</t>
  </si>
  <si>
    <t>V0571</t>
  </si>
  <si>
    <t>V0572</t>
  </si>
  <si>
    <t>V0573</t>
  </si>
  <si>
    <t>V0574</t>
  </si>
  <si>
    <t>V0575</t>
  </si>
  <si>
    <t>V0576</t>
  </si>
  <si>
    <t>V0577</t>
  </si>
  <si>
    <t>V0578</t>
  </si>
  <si>
    <t>V0580</t>
  </si>
  <si>
    <t>V0581</t>
  </si>
  <si>
    <t>V0582</t>
  </si>
  <si>
    <t>V0583</t>
  </si>
  <si>
    <t>V0584</t>
  </si>
  <si>
    <t>V0585</t>
  </si>
  <si>
    <t>V0586</t>
  </si>
  <si>
    <t>V0587</t>
  </si>
  <si>
    <t>V0588</t>
  </si>
  <si>
    <t>V0589</t>
  </si>
  <si>
    <t>V0590</t>
  </si>
  <si>
    <t>V0591</t>
  </si>
  <si>
    <t>V0592</t>
  </si>
  <si>
    <t>V0593</t>
  </si>
  <si>
    <t>V0594</t>
  </si>
  <si>
    <t>V0595</t>
  </si>
  <si>
    <t>V0596</t>
  </si>
  <si>
    <t>V0597</t>
  </si>
  <si>
    <t>V0598</t>
  </si>
  <si>
    <t>V0599</t>
  </si>
  <si>
    <t>V0600</t>
  </si>
  <si>
    <t>V0601</t>
  </si>
  <si>
    <t>V0602</t>
  </si>
  <si>
    <t>V0603</t>
  </si>
  <si>
    <t>V0604</t>
  </si>
  <si>
    <t>V0605</t>
  </si>
  <si>
    <t>V0606</t>
  </si>
  <si>
    <t>V0607</t>
  </si>
  <si>
    <t>V0608</t>
  </si>
  <si>
    <t>V0609</t>
  </si>
  <si>
    <t>V0610</t>
  </si>
  <si>
    <t>V0611</t>
  </si>
  <si>
    <t>V0612</t>
  </si>
  <si>
    <t>V0613</t>
  </si>
  <si>
    <t>V0614</t>
  </si>
  <si>
    <t>V0615</t>
  </si>
  <si>
    <t>V0616</t>
  </si>
  <si>
    <t>V0617</t>
  </si>
  <si>
    <t>V0618</t>
  </si>
  <si>
    <t>V0619</t>
  </si>
  <si>
    <t>V0620</t>
  </si>
  <si>
    <t>V0621</t>
  </si>
  <si>
    <t>V0622</t>
  </si>
  <si>
    <t>V0623</t>
  </si>
  <si>
    <t>V0624</t>
  </si>
  <si>
    <t>V0625</t>
  </si>
  <si>
    <t>V0626</t>
  </si>
  <si>
    <t>V0628</t>
  </si>
  <si>
    <t>V0630</t>
  </si>
  <si>
    <t>V0631</t>
  </si>
  <si>
    <t>V0632</t>
  </si>
  <si>
    <t>V0633</t>
  </si>
  <si>
    <t>V0634</t>
  </si>
  <si>
    <t>V0635</t>
  </si>
  <si>
    <t>V0636</t>
  </si>
  <si>
    <t>V0637</t>
  </si>
  <si>
    <t>V0638</t>
  </si>
  <si>
    <t>V0639</t>
  </si>
  <si>
    <t>V0640</t>
  </si>
  <si>
    <t>V0641</t>
  </si>
  <si>
    <t>V0642</t>
  </si>
  <si>
    <t>V0643</t>
  </si>
  <si>
    <t>V0644</t>
  </si>
  <si>
    <t>V0645</t>
  </si>
  <si>
    <t>V0646</t>
  </si>
  <si>
    <t>V0647</t>
  </si>
  <si>
    <t>V0648</t>
  </si>
  <si>
    <t>V0649</t>
  </si>
  <si>
    <t>V0650</t>
  </si>
  <si>
    <t>V0651</t>
  </si>
  <si>
    <t>V0653</t>
  </si>
  <si>
    <t>V0654</t>
  </si>
  <si>
    <t>V0655</t>
  </si>
  <si>
    <t>V0656</t>
  </si>
  <si>
    <t>V0657</t>
  </si>
  <si>
    <t>V0658</t>
  </si>
  <si>
    <t>V0659</t>
  </si>
  <si>
    <t>V0660</t>
  </si>
  <si>
    <t>V0661</t>
  </si>
  <si>
    <t>V0662</t>
  </si>
  <si>
    <t>V0663</t>
  </si>
  <si>
    <t>V0664</t>
  </si>
  <si>
    <t>V0665</t>
  </si>
  <si>
    <t>V0666</t>
  </si>
  <si>
    <t>V0667</t>
  </si>
  <si>
    <t>V0668</t>
  </si>
  <si>
    <t>V0669</t>
  </si>
  <si>
    <t>V0670</t>
  </si>
  <si>
    <t>V0671</t>
  </si>
  <si>
    <t>V0672</t>
  </si>
  <si>
    <t>V0673</t>
  </si>
  <si>
    <t>V0674</t>
  </si>
  <si>
    <t>V0675</t>
  </si>
  <si>
    <t>V0676</t>
  </si>
  <si>
    <t>V0677</t>
  </si>
  <si>
    <t>V0678</t>
  </si>
  <si>
    <t>V0679</t>
  </si>
  <si>
    <t>V0680</t>
  </si>
  <si>
    <t>V0681</t>
  </si>
  <si>
    <t>V0682</t>
  </si>
  <si>
    <t>V0683</t>
  </si>
  <si>
    <t>V0684</t>
  </si>
  <si>
    <t>V0685</t>
  </si>
  <si>
    <t>V0686</t>
  </si>
  <si>
    <t>V0687</t>
  </si>
  <si>
    <t>V0688</t>
  </si>
  <si>
    <t>V0689</t>
  </si>
  <si>
    <t>V0690</t>
  </si>
  <si>
    <t>V0691</t>
  </si>
  <si>
    <t>V0692</t>
  </si>
  <si>
    <t>V0693</t>
  </si>
  <si>
    <t>V0694</t>
  </si>
  <si>
    <t>V0695</t>
  </si>
  <si>
    <t>V0696</t>
  </si>
  <si>
    <t>V0697</t>
  </si>
  <si>
    <t>V0698</t>
  </si>
  <si>
    <t>V0699</t>
  </si>
  <si>
    <t>V0700</t>
  </si>
  <si>
    <t>V0701</t>
  </si>
  <si>
    <t>V0702</t>
  </si>
  <si>
    <t>V0703</t>
  </si>
  <si>
    <t>V0704</t>
  </si>
  <si>
    <t>V0705</t>
  </si>
  <si>
    <t>V0706</t>
  </si>
  <si>
    <t>V0707</t>
  </si>
  <si>
    <t>V0708</t>
  </si>
  <si>
    <t>V0709</t>
  </si>
  <si>
    <t>V0710</t>
  </si>
  <si>
    <t>V0711</t>
  </si>
  <si>
    <t>V0712</t>
  </si>
  <si>
    <t>V0713</t>
  </si>
  <si>
    <t>V0714</t>
  </si>
  <si>
    <t>V0715</t>
  </si>
  <si>
    <t>V0716</t>
  </si>
  <si>
    <t>V0717</t>
  </si>
  <si>
    <t>V0718</t>
  </si>
  <si>
    <t>V0719</t>
  </si>
  <si>
    <t>V0720</t>
  </si>
  <si>
    <t>V0721</t>
  </si>
  <si>
    <t>V0722</t>
  </si>
  <si>
    <t>V0723</t>
  </si>
  <si>
    <t>V0724</t>
  </si>
  <si>
    <t>V0725</t>
  </si>
  <si>
    <t>V0726</t>
  </si>
  <si>
    <t>V0727</t>
  </si>
  <si>
    <t>V0728</t>
  </si>
  <si>
    <t>V0729</t>
  </si>
  <si>
    <t>V0730</t>
  </si>
  <si>
    <t>V0731</t>
  </si>
  <si>
    <t>V0732</t>
  </si>
  <si>
    <t>V0733</t>
  </si>
  <si>
    <t>V0734</t>
  </si>
  <si>
    <t>V0735</t>
  </si>
  <si>
    <t>V0736</t>
  </si>
  <si>
    <t>V0737</t>
  </si>
  <si>
    <t>V0738</t>
  </si>
  <si>
    <t>V0739</t>
  </si>
  <si>
    <t>V0740</t>
  </si>
  <si>
    <t>V0741</t>
  </si>
  <si>
    <t>V0742</t>
  </si>
  <si>
    <t>V0743</t>
  </si>
  <si>
    <t>V0744</t>
  </si>
  <si>
    <t>V0745</t>
  </si>
  <si>
    <t>V0746</t>
  </si>
  <si>
    <t>V0747</t>
  </si>
  <si>
    <t>V0748</t>
  </si>
  <si>
    <t>V0749</t>
  </si>
  <si>
    <t>V0750</t>
  </si>
  <si>
    <t>V0751</t>
  </si>
  <si>
    <t>V0752</t>
  </si>
  <si>
    <t>V0753</t>
  </si>
  <si>
    <t>V0754</t>
  </si>
  <si>
    <t>V0755</t>
  </si>
  <si>
    <t>V0756</t>
  </si>
  <si>
    <t>V0757</t>
  </si>
  <si>
    <t>V0758</t>
  </si>
  <si>
    <t>V0759</t>
  </si>
  <si>
    <t>V0760</t>
  </si>
  <si>
    <t>V0761</t>
  </si>
  <si>
    <t>V0762</t>
  </si>
  <si>
    <t>V0763</t>
  </si>
  <si>
    <t>V0764</t>
  </si>
  <si>
    <t>V0765</t>
  </si>
  <si>
    <t>V0766</t>
  </si>
  <si>
    <t>V0768</t>
  </si>
  <si>
    <t>V0769</t>
  </si>
  <si>
    <t>V0770</t>
  </si>
  <si>
    <t>V0771</t>
  </si>
  <si>
    <t>V0772</t>
  </si>
  <si>
    <t>V0773</t>
  </si>
  <si>
    <t>V0774</t>
  </si>
  <si>
    <t>V0775</t>
  </si>
  <si>
    <t>V0776</t>
  </si>
  <si>
    <t>V0777</t>
  </si>
  <si>
    <t>V0778</t>
  </si>
  <si>
    <t>V0779</t>
  </si>
  <si>
    <t>V0780</t>
  </si>
  <si>
    <t>V0781</t>
  </si>
  <si>
    <t>V0782</t>
  </si>
  <si>
    <t>V0783</t>
  </si>
  <si>
    <t>V0784</t>
  </si>
  <si>
    <t>V0785</t>
  </si>
  <si>
    <t>V0786</t>
  </si>
  <si>
    <t>V0787</t>
  </si>
  <si>
    <t>V0788</t>
  </si>
  <si>
    <t>V0789</t>
  </si>
  <si>
    <t>V0790</t>
  </si>
  <si>
    <t>V0791</t>
  </si>
  <si>
    <t>V0792</t>
  </si>
  <si>
    <t>V0793</t>
  </si>
  <si>
    <t>V0794</t>
  </si>
  <si>
    <t>V0795</t>
  </si>
  <si>
    <t>V0796</t>
  </si>
  <si>
    <t>V0797</t>
  </si>
  <si>
    <t>V0798</t>
  </si>
  <si>
    <t>V0799</t>
  </si>
  <si>
    <t>V0800</t>
  </si>
  <si>
    <t>V0801</t>
  </si>
  <si>
    <t>V0802</t>
  </si>
  <si>
    <t>V0803</t>
  </si>
  <si>
    <t>V0804</t>
  </si>
  <si>
    <t>V0805</t>
  </si>
  <si>
    <t>V0806</t>
  </si>
  <si>
    <t>V0807</t>
  </si>
  <si>
    <t>V0808</t>
  </si>
  <si>
    <t>V0809</t>
  </si>
  <si>
    <t>V0810</t>
  </si>
  <si>
    <t>V0811</t>
  </si>
  <si>
    <t>V0812</t>
  </si>
  <si>
    <t>V0813</t>
  </si>
  <si>
    <t>V0814</t>
  </si>
  <si>
    <t>V0815</t>
  </si>
  <si>
    <t>V0816</t>
  </si>
  <si>
    <t>V0817</t>
  </si>
  <si>
    <t>V0818</t>
  </si>
  <si>
    <t>V0819</t>
  </si>
  <si>
    <t>V0820</t>
  </si>
  <si>
    <t>V0821</t>
  </si>
  <si>
    <t>V0822</t>
  </si>
  <si>
    <t>V0823</t>
  </si>
  <si>
    <t>V0824</t>
  </si>
  <si>
    <t>V0825</t>
  </si>
  <si>
    <t>V0826</t>
  </si>
  <si>
    <t>V0827</t>
  </si>
  <si>
    <t>V0828</t>
  </si>
  <si>
    <t>V0829</t>
  </si>
  <si>
    <t>V0830</t>
  </si>
  <si>
    <t>V0831</t>
  </si>
  <si>
    <t>V0832</t>
  </si>
  <si>
    <t>V0833</t>
  </si>
  <si>
    <t>V0834</t>
  </si>
  <si>
    <t>V0835</t>
  </si>
  <si>
    <t>V0836</t>
  </si>
  <si>
    <t>V0837</t>
  </si>
  <si>
    <t>V0838</t>
  </si>
  <si>
    <t>V0839</t>
  </si>
  <si>
    <t>V0840</t>
  </si>
  <si>
    <t>V0841</t>
  </si>
  <si>
    <t>V0842</t>
  </si>
  <si>
    <t>V0843</t>
  </si>
  <si>
    <t>V0844</t>
  </si>
  <si>
    <t>V0845</t>
  </si>
  <si>
    <t>V0846</t>
  </si>
  <si>
    <t>V0847</t>
  </si>
  <si>
    <t>V0848</t>
  </si>
  <si>
    <t>V0849</t>
  </si>
  <si>
    <t>V0850</t>
  </si>
  <si>
    <t>V0851</t>
  </si>
  <si>
    <t>V0852</t>
  </si>
  <si>
    <t>V0853</t>
  </si>
  <si>
    <t>V0854</t>
  </si>
  <si>
    <t>V0855</t>
  </si>
  <si>
    <t>V0856</t>
  </si>
  <si>
    <t>V0857</t>
  </si>
  <si>
    <t>V0858</t>
  </si>
  <si>
    <t>V0859</t>
  </si>
  <si>
    <t>V0860</t>
  </si>
  <si>
    <t>V0861</t>
  </si>
  <si>
    <t>V0862</t>
  </si>
  <si>
    <t>V0863</t>
  </si>
  <si>
    <t>V0864</t>
  </si>
  <si>
    <t>V0865</t>
  </si>
  <si>
    <t>V0867</t>
  </si>
  <si>
    <t>V0868</t>
  </si>
  <si>
    <t>V0869</t>
  </si>
  <si>
    <t>V0870</t>
  </si>
  <si>
    <t>V0871</t>
  </si>
  <si>
    <t>V0872</t>
  </si>
  <si>
    <t>V0873</t>
  </si>
  <si>
    <t>V0874</t>
  </si>
  <si>
    <t>V0875</t>
  </si>
  <si>
    <t>V0876</t>
  </si>
  <si>
    <t>V0877</t>
  </si>
  <si>
    <t>V0878</t>
  </si>
  <si>
    <t>V0880</t>
  </si>
  <si>
    <t>V0881</t>
  </si>
  <si>
    <t>V0882</t>
  </si>
  <si>
    <t>V0883</t>
  </si>
  <si>
    <t>V0884</t>
  </si>
  <si>
    <t>V0885</t>
  </si>
  <si>
    <t>V0886</t>
  </si>
  <si>
    <t>V0887</t>
  </si>
  <si>
    <t>V0888</t>
  </si>
  <si>
    <t>V0889</t>
  </si>
  <si>
    <t>V0890</t>
  </si>
  <si>
    <t>V0891</t>
  </si>
  <si>
    <t>V0892</t>
  </si>
  <si>
    <t>V0893</t>
  </si>
  <si>
    <t>V0894</t>
  </si>
  <si>
    <t>V0895</t>
  </si>
  <si>
    <t>V0896</t>
  </si>
  <si>
    <t>V0897</t>
  </si>
  <si>
    <t>V0898</t>
  </si>
  <si>
    <t>V0899</t>
  </si>
  <si>
    <t>V0900</t>
  </si>
  <si>
    <t>V0901</t>
  </si>
  <si>
    <t>V0902</t>
  </si>
  <si>
    <t>V0903</t>
  </si>
  <si>
    <t>V0904</t>
  </si>
  <si>
    <t>V0905</t>
  </si>
  <si>
    <t>V0906</t>
  </si>
  <si>
    <t>V0907</t>
  </si>
  <si>
    <t>V0908</t>
  </si>
  <si>
    <t>V0909</t>
  </si>
  <si>
    <t>V0910</t>
  </si>
  <si>
    <t>V0911</t>
  </si>
  <si>
    <t>V0912</t>
  </si>
  <si>
    <t>V0913</t>
  </si>
  <si>
    <t>V0914</t>
  </si>
  <si>
    <t>V0915</t>
  </si>
  <si>
    <t>V0916</t>
  </si>
  <si>
    <t>V0917</t>
  </si>
  <si>
    <t>V0918</t>
  </si>
  <si>
    <t>V0920</t>
  </si>
  <si>
    <t>V0921</t>
  </si>
  <si>
    <t>V0922</t>
  </si>
  <si>
    <t>V0923</t>
  </si>
  <si>
    <t>V0925</t>
  </si>
  <si>
    <t>V0926</t>
  </si>
  <si>
    <t>V0927</t>
  </si>
  <si>
    <t>V0928</t>
  </si>
  <si>
    <t>V0929</t>
  </si>
  <si>
    <t>V0930</t>
  </si>
  <si>
    <t>V0931</t>
  </si>
  <si>
    <t>V0932</t>
  </si>
  <si>
    <t>V0933</t>
  </si>
  <si>
    <t>V0934</t>
  </si>
  <si>
    <t>V0935</t>
  </si>
  <si>
    <t>V0936</t>
  </si>
  <si>
    <t>V0937</t>
  </si>
  <si>
    <t>V0938</t>
  </si>
  <si>
    <t>V0939</t>
  </si>
  <si>
    <t>V0940</t>
  </si>
  <si>
    <t>V0941</t>
  </si>
  <si>
    <t>V0942</t>
  </si>
  <si>
    <t>V0943</t>
  </si>
  <si>
    <t>V0944</t>
  </si>
  <si>
    <t>V0945</t>
  </si>
  <si>
    <t>V0946</t>
  </si>
  <si>
    <t>V0947</t>
  </si>
  <si>
    <t>V0948</t>
  </si>
  <si>
    <t>V0949</t>
  </si>
  <si>
    <t>V0950</t>
  </si>
  <si>
    <t>V0951</t>
  </si>
  <si>
    <t>V0952</t>
  </si>
  <si>
    <t>V0953</t>
  </si>
  <si>
    <t>V0954</t>
  </si>
  <si>
    <t>V0955</t>
  </si>
  <si>
    <t>V0956</t>
  </si>
  <si>
    <t>V0957</t>
  </si>
  <si>
    <t>V0958</t>
  </si>
  <si>
    <t>V0959</t>
  </si>
  <si>
    <t>V0960</t>
  </si>
  <si>
    <t>V0961</t>
  </si>
  <si>
    <t>V0962</t>
  </si>
  <si>
    <t>V0963</t>
  </si>
  <si>
    <t>V0964</t>
  </si>
  <si>
    <t>V0965</t>
  </si>
  <si>
    <t>V0966</t>
  </si>
  <si>
    <t>V0967</t>
  </si>
  <si>
    <t>V0968</t>
  </si>
  <si>
    <t>V0969</t>
  </si>
  <si>
    <t>V0970</t>
  </si>
  <si>
    <t>V0971</t>
  </si>
  <si>
    <t>V0972</t>
  </si>
  <si>
    <t>V0973</t>
  </si>
  <si>
    <t>V0974</t>
  </si>
  <si>
    <t>V0975</t>
  </si>
  <si>
    <t>V0976</t>
  </si>
  <si>
    <t>V0977</t>
  </si>
  <si>
    <t>V0978</t>
  </si>
  <si>
    <t>V0979</t>
  </si>
  <si>
    <t>V0980</t>
  </si>
  <si>
    <t>V0981</t>
  </si>
  <si>
    <t>V0982</t>
  </si>
  <si>
    <t>V0983</t>
  </si>
  <si>
    <t>V0984</t>
  </si>
  <si>
    <t>V0985</t>
  </si>
  <si>
    <t>V0986</t>
  </si>
  <si>
    <t>V0987</t>
  </si>
  <si>
    <t>V0988</t>
  </si>
  <si>
    <t>V0989</t>
  </si>
  <si>
    <t>V0990</t>
  </si>
  <si>
    <t>V0991</t>
  </si>
  <si>
    <t>V0992</t>
  </si>
  <si>
    <t>V0993</t>
  </si>
  <si>
    <t>V0994</t>
  </si>
  <si>
    <t>V0995</t>
  </si>
  <si>
    <t>V0996</t>
  </si>
  <si>
    <t>V0997</t>
  </si>
  <si>
    <t>V0998</t>
  </si>
  <si>
    <t>V0999</t>
  </si>
  <si>
    <t>V1000</t>
  </si>
  <si>
    <t>V1001</t>
  </si>
  <si>
    <t>V1002</t>
  </si>
  <si>
    <t>V1003</t>
  </si>
  <si>
    <t>V1004</t>
  </si>
  <si>
    <t>V1025</t>
  </si>
  <si>
    <t>V1026</t>
  </si>
  <si>
    <t>V1027</t>
  </si>
  <si>
    <t>V1028</t>
  </si>
  <si>
    <t>V1029</t>
  </si>
  <si>
    <t>V1030</t>
  </si>
  <si>
    <t>V1031</t>
  </si>
  <si>
    <t>V1032</t>
  </si>
  <si>
    <t>V1033</t>
  </si>
  <si>
    <t>V1034</t>
  </si>
  <si>
    <t>V1035</t>
  </si>
  <si>
    <t>V1036</t>
  </si>
  <si>
    <t>V1037</t>
  </si>
  <si>
    <t>V1038</t>
  </si>
  <si>
    <t>V1039</t>
  </si>
  <si>
    <t>V1040</t>
  </si>
  <si>
    <t>V1041</t>
  </si>
  <si>
    <t>V1042</t>
  </si>
  <si>
    <t>V1043</t>
  </si>
  <si>
    <t>Class</t>
  </si>
  <si>
    <t>[MAP].[T_TRANS_CLASS]</t>
  </si>
  <si>
    <t>[MAP].[T_TRANS_CUSTOMER]</t>
  </si>
  <si>
    <t>Customer</t>
  </si>
  <si>
    <t>330Monta</t>
  </si>
  <si>
    <t>ADAPTIMM</t>
  </si>
  <si>
    <t>ALTASCIE</t>
  </si>
  <si>
    <t>AMERICAN</t>
  </si>
  <si>
    <t>AVPQTA00</t>
  </si>
  <si>
    <t>BALLCORP</t>
  </si>
  <si>
    <t>BEDACOMP</t>
  </si>
  <si>
    <t>BEINKE</t>
  </si>
  <si>
    <t>BILFINGE</t>
  </si>
  <si>
    <t>BMPROPTY</t>
  </si>
  <si>
    <t>BREWGARR</t>
  </si>
  <si>
    <t>BUTZ0000</t>
  </si>
  <si>
    <t>CANDOHAZ</t>
  </si>
  <si>
    <t>CAPPRECO</t>
  </si>
  <si>
    <t>CARDINAL</t>
  </si>
  <si>
    <t>CBREGWSL</t>
  </si>
  <si>
    <t>Chance</t>
  </si>
  <si>
    <t>CITTERIO</t>
  </si>
  <si>
    <t>CMCINC</t>
  </si>
  <si>
    <t>COLTS</t>
  </si>
  <si>
    <t>CONRACSO</t>
  </si>
  <si>
    <t>COSTANZO</t>
  </si>
  <si>
    <t>CRB00000</t>
  </si>
  <si>
    <t>CUSHMAN0</t>
  </si>
  <si>
    <t>DIOCESRC</t>
  </si>
  <si>
    <t>DLWELD</t>
  </si>
  <si>
    <t>Dunmore</t>
  </si>
  <si>
    <t>EGCConst</t>
  </si>
  <si>
    <t>EPSTEIN0</t>
  </si>
  <si>
    <t>FIDELITY</t>
  </si>
  <si>
    <t>FOREUPRE</t>
  </si>
  <si>
    <t>FREESTAT</t>
  </si>
  <si>
    <t>GENZYMEC</t>
  </si>
  <si>
    <t>GERTRUDE</t>
  </si>
  <si>
    <t>HILTONDO</t>
  </si>
  <si>
    <t>HOLCIMUS</t>
  </si>
  <si>
    <t>HOLIDAY</t>
  </si>
  <si>
    <t>HOLYNAME</t>
  </si>
  <si>
    <t>INDUSTRI</t>
  </si>
  <si>
    <t>INTEGRAT</t>
  </si>
  <si>
    <t>JACOBS01</t>
  </si>
  <si>
    <t>JESHTMTL</t>
  </si>
  <si>
    <t>JUSHI</t>
  </si>
  <si>
    <t>KANE</t>
  </si>
  <si>
    <t>KennedyC</t>
  </si>
  <si>
    <t>KNAUFINS</t>
  </si>
  <si>
    <t>KRIGER00</t>
  </si>
  <si>
    <t>LACEBUIL</t>
  </si>
  <si>
    <t>LACKAWAN</t>
  </si>
  <si>
    <t>LACKCOLL</t>
  </si>
  <si>
    <t>LINCOLNH</t>
  </si>
  <si>
    <t>LOGOPLAS</t>
  </si>
  <si>
    <t>LYONS000</t>
  </si>
  <si>
    <t>MAPLTREE</t>
  </si>
  <si>
    <t>MASSELEC</t>
  </si>
  <si>
    <t>MATRIXNA</t>
  </si>
  <si>
    <t>McDal</t>
  </si>
  <si>
    <t>METROLIF</t>
  </si>
  <si>
    <t>MILLERVA</t>
  </si>
  <si>
    <t>MTF00000</t>
  </si>
  <si>
    <t>NAMMOPOC</t>
  </si>
  <si>
    <t>NATIONAL</t>
  </si>
  <si>
    <t>NAUTILUS</t>
  </si>
  <si>
    <t>NESITE</t>
  </si>
  <si>
    <t>NUCOR</t>
  </si>
  <si>
    <t>OFFICEO</t>
  </si>
  <si>
    <t>OMMULTI</t>
  </si>
  <si>
    <t>PAAMERWA</t>
  </si>
  <si>
    <t>PAHUTCHI</t>
  </si>
  <si>
    <t>PENNDOT</t>
  </si>
  <si>
    <t>PNC00000</t>
  </si>
  <si>
    <t>POLYGLAS</t>
  </si>
  <si>
    <t>PPFUALOC</t>
  </si>
  <si>
    <t>PRUDINSU</t>
  </si>
  <si>
    <t>ROCKWOOL</t>
  </si>
  <si>
    <t>ROGERORL</t>
  </si>
  <si>
    <t>RTE116W</t>
  </si>
  <si>
    <t>SANOFI00</t>
  </si>
  <si>
    <t>SCRCULTU</t>
  </si>
  <si>
    <t>SEVENUP</t>
  </si>
  <si>
    <t>SPMCCARL</t>
  </si>
  <si>
    <t>SPROUL</t>
  </si>
  <si>
    <t>THREE</t>
  </si>
  <si>
    <t>TRACEYRO</t>
  </si>
  <si>
    <t>UFPPACK</t>
  </si>
  <si>
    <t>UPSI0000</t>
  </si>
  <si>
    <t>VALMETIN</t>
  </si>
  <si>
    <t>VARIGGER</t>
  </si>
  <si>
    <t>WELLSFAR</t>
  </si>
  <si>
    <t>WilkesUn</t>
  </si>
  <si>
    <t>WNEPTV00</t>
  </si>
  <si>
    <t>YODERSON</t>
  </si>
  <si>
    <t>ZFCONSLT</t>
  </si>
  <si>
    <t>ZFCONST0</t>
  </si>
  <si>
    <t>ADVANCED</t>
  </si>
  <si>
    <t>ARMYCORP</t>
  </si>
  <si>
    <t>AZEKCO</t>
  </si>
  <si>
    <t>BLUEROCK</t>
  </si>
  <si>
    <t>BORLIEME</t>
  </si>
  <si>
    <t>LECCONST</t>
  </si>
  <si>
    <t>RYCONCON</t>
  </si>
  <si>
    <t>SCRPREPA</t>
  </si>
  <si>
    <t>SIMONAAM</t>
  </si>
  <si>
    <t>TECHNI</t>
  </si>
  <si>
    <t>TISHCONS</t>
  </si>
  <si>
    <t>TOYOTASC</t>
  </si>
  <si>
    <t>VICTAULI</t>
  </si>
  <si>
    <t>LEHIGHHO</t>
  </si>
  <si>
    <t>MILLTOWN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</si>
  <si>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</si>
  <si>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</si>
  <si>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</si>
  <si>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</si>
  <si>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</si>
  <si>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</si>
  <si>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</si>
  <si>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</si>
  <si>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</si>
  <si>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</si>
  <si>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</si>
  <si>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</si>
  <si>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</si>
  <si>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</si>
  <si>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</si>
  <si>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</si>
  <si>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</si>
  <si>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</si>
  <si>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</si>
  <si>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</si>
  <si>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</si>
  <si>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</si>
  <si>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</si>
  <si>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</si>
  <si>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</si>
  <si>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</si>
  <si>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</si>
  <si>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</si>
  <si>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</si>
  <si>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</si>
  <si>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</si>
  <si>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</si>
  <si>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</si>
  <si>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</si>
  <si>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</si>
  <si>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</si>
  <si>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</si>
  <si>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</si>
  <si>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</si>
  <si>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</si>
  <si>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</si>
  <si>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</si>
  <si>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</si>
  <si>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</si>
  <si>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</si>
  <si>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</si>
  <si>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</si>
  <si>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</si>
  <si>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</si>
  <si>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</si>
  <si>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</si>
  <si>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</si>
  <si>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</si>
  <si>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</si>
  <si>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</si>
  <si>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</si>
  <si>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</si>
  <si>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</si>
  <si>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</si>
  <si>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</si>
  <si>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</si>
  <si>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</si>
  <si>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</si>
  <si>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</si>
  <si>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</si>
  <si>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</si>
  <si>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</si>
  <si>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</si>
  <si>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</si>
  <si>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</si>
  <si>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</si>
  <si>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</si>
  <si>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</si>
  <si>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</si>
  <si>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</si>
  <si>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</si>
  <si>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</si>
  <si>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</si>
  <si>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</si>
  <si>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</si>
  <si>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</si>
  <si>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</si>
  <si>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</si>
  <si>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</si>
  <si>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</si>
  <si>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</si>
  <si>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</si>
  <si>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</si>
  <si>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</si>
  <si>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</si>
  <si>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</si>
  <si>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</si>
  <si>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</si>
  <si>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</si>
  <si>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</si>
  <si>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</si>
  <si>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</si>
  <si>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</si>
  <si>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</si>
  <si>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</si>
  <si>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</si>
  <si>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</si>
  <si>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</si>
  <si>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</si>
  <si>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</si>
  <si>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</si>
  <si>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</si>
  <si>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</si>
  <si>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</si>
  <si>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</si>
  <si>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</si>
  <si>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</si>
  <si>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</si>
  <si>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</si>
  <si>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</si>
  <si>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</si>
  <si>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</si>
  <si>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</si>
  <si>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</si>
  <si>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</si>
  <si>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</si>
  <si>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</si>
  <si>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</si>
  <si>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Adaptimmune LLC</t>
  </si>
  <si>
    <t>Altasciences Pre-Clinical Scranton</t>
  </si>
  <si>
    <t>American Custom Drying</t>
  </si>
  <si>
    <t>Autotech Concrete</t>
  </si>
  <si>
    <t>AVP QTA, LLC</t>
  </si>
  <si>
    <t>Ball Corporation</t>
  </si>
  <si>
    <t>BEDA Company Inc</t>
  </si>
  <si>
    <t>Bilfinger Industrial Services</t>
  </si>
  <si>
    <t>B&amp;M Property Development LLC</t>
  </si>
  <si>
    <t>The Brewer-Garrett Company</t>
  </si>
  <si>
    <t>Alvin H. Butz Inc.</t>
  </si>
  <si>
    <t>Can Do Hazleton LLC</t>
  </si>
  <si>
    <t>Capitol Preservation Commitee</t>
  </si>
  <si>
    <t>Cardinal LG</t>
  </si>
  <si>
    <t>CBRE GWS LLC</t>
  </si>
  <si>
    <t>Chance Aluminum</t>
  </si>
  <si>
    <t>Citterio USA Corporation</t>
  </si>
  <si>
    <t>CMC Inc</t>
  </si>
  <si>
    <t>County of Lackawanna Transit System</t>
  </si>
  <si>
    <t>Conrac Solutions, LLC</t>
  </si>
  <si>
    <t>LR Costanzo Co Inc</t>
  </si>
  <si>
    <t>CRB Builders</t>
  </si>
  <si>
    <t>Cushman &amp; Wakefield</t>
  </si>
  <si>
    <t>Diocese of Scranton</t>
  </si>
  <si>
    <t>Borough of Dunmore</t>
  </si>
  <si>
    <t>EGC Construction Corp</t>
  </si>
  <si>
    <t>Epstein Construction</t>
  </si>
  <si>
    <t>Fidelity D&amp;D Bank</t>
  </si>
  <si>
    <t>Fore Up Realty</t>
  </si>
  <si>
    <t>Genzyme Corporation</t>
  </si>
  <si>
    <t>Gertrude Hawk Chocolates</t>
  </si>
  <si>
    <t>2023 Hilton Dove, LLC</t>
  </si>
  <si>
    <t>Holcim USA</t>
  </si>
  <si>
    <t>Holiday Inn Scranton East</t>
  </si>
  <si>
    <t>Holy Name of Jesus National Church</t>
  </si>
  <si>
    <t>Industrial Construction Services &amp;</t>
  </si>
  <si>
    <t>Industrial 40 LLC</t>
  </si>
  <si>
    <t>Integrated Project Services</t>
  </si>
  <si>
    <t>Jacobs Project Management Co.</t>
  </si>
  <si>
    <t>Jushi</t>
  </si>
  <si>
    <t>Kane Properties LLP</t>
  </si>
  <si>
    <t>Kennedy Construction LLC</t>
  </si>
  <si>
    <t>Knauf Insulation</t>
  </si>
  <si>
    <t>Kriger Construction Company</t>
  </si>
  <si>
    <t>Lace Building Affiliates, LP</t>
  </si>
  <si>
    <t>Lackawanna Exective Park Dickson</t>
  </si>
  <si>
    <t>Lackawanna College</t>
  </si>
  <si>
    <t>Lincoln Property Company</t>
  </si>
  <si>
    <t>Logoplaste Tabler Station LLC</t>
  </si>
  <si>
    <t>Mapletree US Managements LLC</t>
  </si>
  <si>
    <t>Mass Electric Construction Co</t>
  </si>
  <si>
    <t>Matrix NAC</t>
  </si>
  <si>
    <t>C&amp;W at MetLife</t>
  </si>
  <si>
    <t>Miller-Valentine Construction</t>
  </si>
  <si>
    <t>MTF</t>
  </si>
  <si>
    <t>Nammo Pocal Inc</t>
  </si>
  <si>
    <t>National Cart Company</t>
  </si>
  <si>
    <t>Nautilus Cryptomine LLC</t>
  </si>
  <si>
    <t>Nucor Insulated Panel Group</t>
  </si>
  <si>
    <t>Office of Economic &amp; Community Dev</t>
  </si>
  <si>
    <t>O&amp;M Multi-Trade Inc</t>
  </si>
  <si>
    <t>Pennsylvania-American Water Co</t>
  </si>
  <si>
    <t>PA Hutchinson Company</t>
  </si>
  <si>
    <t>PennDot Engineering District 4</t>
  </si>
  <si>
    <t>PNC Bank</t>
  </si>
  <si>
    <t>Polyglass USA Inc.</t>
  </si>
  <si>
    <t>Plumbers &amp;Steamfitters UA Local 486</t>
  </si>
  <si>
    <t>The Prudential Insurance Co.</t>
  </si>
  <si>
    <t>Rockwool</t>
  </si>
  <si>
    <t>Roger Orlandini</t>
  </si>
  <si>
    <t>2023 RTE W Manchester, LLC</t>
  </si>
  <si>
    <t>Sanofi Pasteur</t>
  </si>
  <si>
    <t>Scranton Cultural Center</t>
  </si>
  <si>
    <t>Seven Up To The Moon, LLC</t>
  </si>
  <si>
    <t>SP McCarl &amp; Company</t>
  </si>
  <si>
    <t>Sproul Construction Co.</t>
  </si>
  <si>
    <t>Three Up Realty LLC</t>
  </si>
  <si>
    <t>Tracey Road Equipment</t>
  </si>
  <si>
    <t>Turner Construction Company</t>
  </si>
  <si>
    <t>UFP Packaging</t>
  </si>
  <si>
    <t>UltrapureSystems Inc</t>
  </si>
  <si>
    <t>Valmet, Inc.</t>
  </si>
  <si>
    <t>Virginia Riggers</t>
  </si>
  <si>
    <t>Wells Fargo CPG Accounts Pay</t>
  </si>
  <si>
    <t>Wilkes University</t>
  </si>
  <si>
    <t>WNEP</t>
  </si>
  <si>
    <t>Z&amp;F Consulting</t>
  </si>
  <si>
    <t>Z&amp;F Construction, Inc</t>
  </si>
  <si>
    <t>Advanced Glass-LR Costanzo JV LLC</t>
  </si>
  <si>
    <t>US Army Corps of Engineers</t>
  </si>
  <si>
    <t>The AZEK Companyh</t>
  </si>
  <si>
    <t>Blue Rock Construction, Inc.</t>
  </si>
  <si>
    <t>Borlie Mechanical</t>
  </si>
  <si>
    <t>LEC Construction Services LLC</t>
  </si>
  <si>
    <t>Rycon Construction, Inc.</t>
  </si>
  <si>
    <t>Scranton Preparatory School</t>
  </si>
  <si>
    <t>Simona American Industries</t>
  </si>
  <si>
    <t>Technimark LLC</t>
  </si>
  <si>
    <t>Tishman Construction Corp of PA</t>
  </si>
  <si>
    <t>Toyota of Scranton</t>
  </si>
  <si>
    <t>United Way of Lackawanna and Wayne</t>
  </si>
  <si>
    <t>Victaullic Company</t>
  </si>
  <si>
    <t>Lehigh Valley Health Network</t>
  </si>
  <si>
    <t>Milltown Onsite Generation LLC</t>
  </si>
  <si>
    <t>Job</t>
  </si>
  <si>
    <t>Department ID</t>
  </si>
  <si>
    <t>Entity/Loc ID</t>
  </si>
  <si>
    <t>Class ID</t>
  </si>
  <si>
    <t>Customer ID</t>
  </si>
  <si>
    <t>PM ID</t>
  </si>
  <si>
    <t>[MAP].[T_TRANS_JOB]</t>
  </si>
  <si>
    <t>Laceworks CM Project</t>
  </si>
  <si>
    <t>Laceworks Pennvest Storm Water</t>
  </si>
  <si>
    <t>COLTS Transit Facility</t>
  </si>
  <si>
    <t>Fidelity Bank Corporate HQ</t>
  </si>
  <si>
    <t>Commercial</t>
  </si>
  <si>
    <t>CM</t>
  </si>
  <si>
    <t>10024</t>
  </si>
  <si>
    <t>GC</t>
  </si>
  <si>
    <t>10046</t>
  </si>
  <si>
    <t>10015</t>
  </si>
  <si>
    <t>Include?</t>
  </si>
  <si>
    <t>Yes</t>
  </si>
  <si>
    <t>Cost Code</t>
  </si>
  <si>
    <t>[MAP].[T_TRANS_COST_CODE]</t>
  </si>
  <si>
    <t>01-0000</t>
  </si>
  <si>
    <t>01-1005</t>
  </si>
  <si>
    <t>01-1008</t>
  </si>
  <si>
    <t>01-1010</t>
  </si>
  <si>
    <t>01-1012</t>
  </si>
  <si>
    <t>01-1015</t>
  </si>
  <si>
    <t>01-1016</t>
  </si>
  <si>
    <t>01-1020</t>
  </si>
  <si>
    <t>01-1025</t>
  </si>
  <si>
    <t>01-1030</t>
  </si>
  <si>
    <t>01-1040</t>
  </si>
  <si>
    <t>01-1045</t>
  </si>
  <si>
    <t>01-1050</t>
  </si>
  <si>
    <t>01-1055</t>
  </si>
  <si>
    <t>01-1060</t>
  </si>
  <si>
    <t>01-1065</t>
  </si>
  <si>
    <t>01-1070</t>
  </si>
  <si>
    <t>01-1105</t>
  </si>
  <si>
    <t>01-1108</t>
  </si>
  <si>
    <t>01-1110</t>
  </si>
  <si>
    <t>01-1112</t>
  </si>
  <si>
    <t>01-1115</t>
  </si>
  <si>
    <t>01-1116</t>
  </si>
  <si>
    <t>01-1120</t>
  </si>
  <si>
    <t>01-1125</t>
  </si>
  <si>
    <t>01-1130</t>
  </si>
  <si>
    <t>01-1140</t>
  </si>
  <si>
    <t>01-1145</t>
  </si>
  <si>
    <t>01-1150</t>
  </si>
  <si>
    <t>01-1155</t>
  </si>
  <si>
    <t>01-1160</t>
  </si>
  <si>
    <t>01-1165</t>
  </si>
  <si>
    <t>01-1170</t>
  </si>
  <si>
    <t>01-1200</t>
  </si>
  <si>
    <t>01-1205</t>
  </si>
  <si>
    <t>01-1210</t>
  </si>
  <si>
    <t>01-1215</t>
  </si>
  <si>
    <t>01-1220</t>
  </si>
  <si>
    <t>01-1225</t>
  </si>
  <si>
    <t>01-1240</t>
  </si>
  <si>
    <t>01-1245</t>
  </si>
  <si>
    <t>01-1250</t>
  </si>
  <si>
    <t>01-1255</t>
  </si>
  <si>
    <t>01-1260</t>
  </si>
  <si>
    <t>01-1265</t>
  </si>
  <si>
    <t>01-1270</t>
  </si>
  <si>
    <t>01-1275</t>
  </si>
  <si>
    <t>01-1300</t>
  </si>
  <si>
    <t>01-1305</t>
  </si>
  <si>
    <t>01-1310</t>
  </si>
  <si>
    <t>01-1315</t>
  </si>
  <si>
    <t>01-1320</t>
  </si>
  <si>
    <t>01-1325</t>
  </si>
  <si>
    <t>01-1330</t>
  </si>
  <si>
    <t>01-1335</t>
  </si>
  <si>
    <t>01-1400</t>
  </si>
  <si>
    <t>01-1405</t>
  </si>
  <si>
    <t>01-1415</t>
  </si>
  <si>
    <t>01-1420</t>
  </si>
  <si>
    <t>01-1425</t>
  </si>
  <si>
    <t>01-1430</t>
  </si>
  <si>
    <t>01-1435</t>
  </si>
  <si>
    <t>01-1440</t>
  </si>
  <si>
    <t>01-1455</t>
  </si>
  <si>
    <t>01-1460</t>
  </si>
  <si>
    <t>01-1465</t>
  </si>
  <si>
    <t>01-1470</t>
  </si>
  <si>
    <t>01-1500</t>
  </si>
  <si>
    <t>01-1600</t>
  </si>
  <si>
    <t>01-1605</t>
  </si>
  <si>
    <t>01-1700</t>
  </si>
  <si>
    <t>01-1705</t>
  </si>
  <si>
    <t>01-1710</t>
  </si>
  <si>
    <t>01-1715</t>
  </si>
  <si>
    <t>01-1800</t>
  </si>
  <si>
    <t>01-1900</t>
  </si>
  <si>
    <t>01-2000</t>
  </si>
  <si>
    <t>01-5123</t>
  </si>
  <si>
    <t>02-0000</t>
  </si>
  <si>
    <t>02-3000</t>
  </si>
  <si>
    <t>02-4113</t>
  </si>
  <si>
    <t>02-4116</t>
  </si>
  <si>
    <t>02-4119</t>
  </si>
  <si>
    <t>02-4901</t>
  </si>
  <si>
    <t>02-4902</t>
  </si>
  <si>
    <t>02-4903</t>
  </si>
  <si>
    <t>02-4904</t>
  </si>
  <si>
    <t>02-4905</t>
  </si>
  <si>
    <t>02-5000</t>
  </si>
  <si>
    <t>02-8000</t>
  </si>
  <si>
    <t>03-0000</t>
  </si>
  <si>
    <t>03-0130</t>
  </si>
  <si>
    <t>03-0131</t>
  </si>
  <si>
    <t>03-0132</t>
  </si>
  <si>
    <t>03-0133</t>
  </si>
  <si>
    <t>03-0134</t>
  </si>
  <si>
    <t>03-0135</t>
  </si>
  <si>
    <t>03-0136</t>
  </si>
  <si>
    <t>03-1519</t>
  </si>
  <si>
    <t>03-1520</t>
  </si>
  <si>
    <t>03-2100</t>
  </si>
  <si>
    <t>03-2200</t>
  </si>
  <si>
    <t>03-3010</t>
  </si>
  <si>
    <t>03-3015</t>
  </si>
  <si>
    <t>03-3020</t>
  </si>
  <si>
    <t>03-3025</t>
  </si>
  <si>
    <t>03-3030</t>
  </si>
  <si>
    <t>03-3040</t>
  </si>
  <si>
    <t>03-3045</t>
  </si>
  <si>
    <t>03-3050</t>
  </si>
  <si>
    <t>03-3055</t>
  </si>
  <si>
    <t>03-3060</t>
  </si>
  <si>
    <t>03-3070</t>
  </si>
  <si>
    <t>03-3075</t>
  </si>
  <si>
    <t>03-3080</t>
  </si>
  <si>
    <t>03-3090</t>
  </si>
  <si>
    <t>03-3095</t>
  </si>
  <si>
    <t>03-3099</t>
  </si>
  <si>
    <t>03-4000</t>
  </si>
  <si>
    <t>03-4050</t>
  </si>
  <si>
    <t>03-6000</t>
  </si>
  <si>
    <t>03-8100</t>
  </si>
  <si>
    <t>03-8200</t>
  </si>
  <si>
    <t>04-0000</t>
  </si>
  <si>
    <t>04-0120</t>
  </si>
  <si>
    <t>04-2000</t>
  </si>
  <si>
    <t>05-0000</t>
  </si>
  <si>
    <t>05-1000</t>
  </si>
  <si>
    <t>05-4100</t>
  </si>
  <si>
    <t>05-5000</t>
  </si>
  <si>
    <t>05-5500</t>
  </si>
  <si>
    <t>05-7000</t>
  </si>
  <si>
    <t>06-0000</t>
  </si>
  <si>
    <t>06-1053</t>
  </si>
  <si>
    <t>06-1054</t>
  </si>
  <si>
    <t>06-1055</t>
  </si>
  <si>
    <t>06-1056</t>
  </si>
  <si>
    <t>06-1110</t>
  </si>
  <si>
    <t>06-1120</t>
  </si>
  <si>
    <t>06-1130</t>
  </si>
  <si>
    <t>06-1140</t>
  </si>
  <si>
    <t>06-1300</t>
  </si>
  <si>
    <t>06-1713</t>
  </si>
  <si>
    <t>06-1753</t>
  </si>
  <si>
    <t>06-2000</t>
  </si>
  <si>
    <t>06-2001</t>
  </si>
  <si>
    <t>06-2002</t>
  </si>
  <si>
    <t>06-2200</t>
  </si>
  <si>
    <t>06-4100</t>
  </si>
  <si>
    <t>06-4200</t>
  </si>
  <si>
    <t>06-4300</t>
  </si>
  <si>
    <t>06-4400</t>
  </si>
  <si>
    <t>06-4600</t>
  </si>
  <si>
    <t>06-4800</t>
  </si>
  <si>
    <t>07-0000</t>
  </si>
  <si>
    <t>07-1000</t>
  </si>
  <si>
    <t>07-2100</t>
  </si>
  <si>
    <t>07-2400</t>
  </si>
  <si>
    <t>07-2700</t>
  </si>
  <si>
    <t>07-3100</t>
  </si>
  <si>
    <t>07-4100</t>
  </si>
  <si>
    <t>07-4200</t>
  </si>
  <si>
    <t>07-4213</t>
  </si>
  <si>
    <t>07-4263</t>
  </si>
  <si>
    <t>07-4600</t>
  </si>
  <si>
    <t>07-5000</t>
  </si>
  <si>
    <t>07-6000</t>
  </si>
  <si>
    <t>07-6050</t>
  </si>
  <si>
    <t>07-7100</t>
  </si>
  <si>
    <t>07-8100</t>
  </si>
  <si>
    <t>07-8400</t>
  </si>
  <si>
    <t>07-9200</t>
  </si>
  <si>
    <t>07-9500</t>
  </si>
  <si>
    <t>08-0000</t>
  </si>
  <si>
    <t>08-1100</t>
  </si>
  <si>
    <t>08-1101</t>
  </si>
  <si>
    <t>08-1102</t>
  </si>
  <si>
    <t>08-1103</t>
  </si>
  <si>
    <t>08-3100</t>
  </si>
  <si>
    <t>08-3600</t>
  </si>
  <si>
    <t>08-4100</t>
  </si>
  <si>
    <t>08-4229</t>
  </si>
  <si>
    <t>08-4400</t>
  </si>
  <si>
    <t>08-5100</t>
  </si>
  <si>
    <t>08-5200</t>
  </si>
  <si>
    <t>08-5313</t>
  </si>
  <si>
    <t>08-6000</t>
  </si>
  <si>
    <t>08-8000</t>
  </si>
  <si>
    <t>08-9000</t>
  </si>
  <si>
    <t>08-9200</t>
  </si>
  <si>
    <t>09-0000</t>
  </si>
  <si>
    <t>09-2110</t>
  </si>
  <si>
    <t>09-2120</t>
  </si>
  <si>
    <t>09-2130</t>
  </si>
  <si>
    <t>09-2140</t>
  </si>
  <si>
    <t>09-2150</t>
  </si>
  <si>
    <t>09-2213</t>
  </si>
  <si>
    <t>09-2216</t>
  </si>
  <si>
    <t>09-2217</t>
  </si>
  <si>
    <t>09-2260</t>
  </si>
  <si>
    <t>09-2900</t>
  </si>
  <si>
    <t>09-2910</t>
  </si>
  <si>
    <t>09-2920</t>
  </si>
  <si>
    <t>09-3000</t>
  </si>
  <si>
    <t>09-5100</t>
  </si>
  <si>
    <t>09-5400</t>
  </si>
  <si>
    <t>09-5426</t>
  </si>
  <si>
    <t>09-6400</t>
  </si>
  <si>
    <t>09-6500</t>
  </si>
  <si>
    <t>09-6600</t>
  </si>
  <si>
    <t>09-6700</t>
  </si>
  <si>
    <t>09-6800</t>
  </si>
  <si>
    <t>09-6900</t>
  </si>
  <si>
    <t>09-9000</t>
  </si>
  <si>
    <t>10-0000</t>
  </si>
  <si>
    <t>10-1100</t>
  </si>
  <si>
    <t>10-1400</t>
  </si>
  <si>
    <t>10-1453</t>
  </si>
  <si>
    <t>10-2113</t>
  </si>
  <si>
    <t>10-2123</t>
  </si>
  <si>
    <t>10-2200</t>
  </si>
  <si>
    <t>10-2213</t>
  </si>
  <si>
    <t>10-2600</t>
  </si>
  <si>
    <t>10-2623</t>
  </si>
  <si>
    <t>10-2800</t>
  </si>
  <si>
    <t>10-2900</t>
  </si>
  <si>
    <t>10-3000</t>
  </si>
  <si>
    <t>10-4400</t>
  </si>
  <si>
    <t>10-5100</t>
  </si>
  <si>
    <t>10-5500</t>
  </si>
  <si>
    <t>10-5600</t>
  </si>
  <si>
    <t>10-5700</t>
  </si>
  <si>
    <t>10-7300</t>
  </si>
  <si>
    <t>10-7500</t>
  </si>
  <si>
    <t>10-8100</t>
  </si>
  <si>
    <t>11-0000</t>
  </si>
  <si>
    <t>11-1100</t>
  </si>
  <si>
    <t>11-1200</t>
  </si>
  <si>
    <t>11-1300</t>
  </si>
  <si>
    <t>11-1400</t>
  </si>
  <si>
    <t>11-1600</t>
  </si>
  <si>
    <t>11-1900</t>
  </si>
  <si>
    <t>11-2100</t>
  </si>
  <si>
    <t>11-2300</t>
  </si>
  <si>
    <t>11-2400</t>
  </si>
  <si>
    <t>11-2600</t>
  </si>
  <si>
    <t>11-2700</t>
  </si>
  <si>
    <t>11-3100</t>
  </si>
  <si>
    <t>11-3300</t>
  </si>
  <si>
    <t>11-4000</t>
  </si>
  <si>
    <t>11-5200</t>
  </si>
  <si>
    <t>11-5300</t>
  </si>
  <si>
    <t>11-6100</t>
  </si>
  <si>
    <t>11-6500</t>
  </si>
  <si>
    <t>11-6800</t>
  </si>
  <si>
    <t>11-7000</t>
  </si>
  <si>
    <t>11-8000</t>
  </si>
  <si>
    <t>12-0000</t>
  </si>
  <si>
    <t>12-2000</t>
  </si>
  <si>
    <t>12-3000</t>
  </si>
  <si>
    <t>12-3600</t>
  </si>
  <si>
    <t>12-4800</t>
  </si>
  <si>
    <t>12-5000</t>
  </si>
  <si>
    <t>12-6000</t>
  </si>
  <si>
    <t>12-9300</t>
  </si>
  <si>
    <t>13-0000</t>
  </si>
  <si>
    <t>13-1100</t>
  </si>
  <si>
    <t>13-2100</t>
  </si>
  <si>
    <t>13-3419</t>
  </si>
  <si>
    <t>13-4200</t>
  </si>
  <si>
    <t>13-4900</t>
  </si>
  <si>
    <t>14-0000</t>
  </si>
  <si>
    <t>14-1000</t>
  </si>
  <si>
    <t>14-2000</t>
  </si>
  <si>
    <t>14-3000</t>
  </si>
  <si>
    <t>14-4000</t>
  </si>
  <si>
    <t>14-5000</t>
  </si>
  <si>
    <t>14-9000</t>
  </si>
  <si>
    <t>21-0000</t>
  </si>
  <si>
    <t>21-1300</t>
  </si>
  <si>
    <t>22-0000</t>
  </si>
  <si>
    <t>22-1400</t>
  </si>
  <si>
    <t>22-1500</t>
  </si>
  <si>
    <t>22-4000</t>
  </si>
  <si>
    <t>22-5000</t>
  </si>
  <si>
    <t>22-6000</t>
  </si>
  <si>
    <t>22-6300</t>
  </si>
  <si>
    <t>23-0000</t>
  </si>
  <si>
    <t>23-0700</t>
  </si>
  <si>
    <t>23-0900</t>
  </si>
  <si>
    <t>23-2000</t>
  </si>
  <si>
    <t>23-2010</t>
  </si>
  <si>
    <t>23-6000</t>
  </si>
  <si>
    <t>23-7000</t>
  </si>
  <si>
    <t>23-7010</t>
  </si>
  <si>
    <t>25-0000</t>
  </si>
  <si>
    <t>25-5000</t>
  </si>
  <si>
    <t>25-6000</t>
  </si>
  <si>
    <t>26-0000</t>
  </si>
  <si>
    <t>26-2000</t>
  </si>
  <si>
    <t>26-2500</t>
  </si>
  <si>
    <t>27-0000</t>
  </si>
  <si>
    <t>27-2000</t>
  </si>
  <si>
    <t>27-4000</t>
  </si>
  <si>
    <t>28-0000</t>
  </si>
  <si>
    <t>28-1000</t>
  </si>
  <si>
    <t>28-3100</t>
  </si>
  <si>
    <t>31-0000</t>
  </si>
  <si>
    <t>31-1100</t>
  </si>
  <si>
    <t>31-1313</t>
  </si>
  <si>
    <t>31-2200</t>
  </si>
  <si>
    <t>31-2316</t>
  </si>
  <si>
    <t>31-2319</t>
  </si>
  <si>
    <t>31-2323</t>
  </si>
  <si>
    <t>31-2333</t>
  </si>
  <si>
    <t>31-2500</t>
  </si>
  <si>
    <t>31-3113</t>
  </si>
  <si>
    <t>31-3200</t>
  </si>
  <si>
    <t>31-3700</t>
  </si>
  <si>
    <t>31-4100</t>
  </si>
  <si>
    <t>31-4800</t>
  </si>
  <si>
    <t>31-6000</t>
  </si>
  <si>
    <t>31-7000</t>
  </si>
  <si>
    <t>32-0000</t>
  </si>
  <si>
    <t>32-0117</t>
  </si>
  <si>
    <t>32-0130</t>
  </si>
  <si>
    <t>32-1100</t>
  </si>
  <si>
    <t>32-1216</t>
  </si>
  <si>
    <t>32-1313</t>
  </si>
  <si>
    <t>32-1613</t>
  </si>
  <si>
    <t>32-1623</t>
  </si>
  <si>
    <t>32-1633</t>
  </si>
  <si>
    <t>32-1713</t>
  </si>
  <si>
    <t>32-1723</t>
  </si>
  <si>
    <t>32-3100</t>
  </si>
  <si>
    <t>32-3200</t>
  </si>
  <si>
    <t>32-3913</t>
  </si>
  <si>
    <t>32-9000</t>
  </si>
  <si>
    <t>33-0000</t>
  </si>
  <si>
    <t>33-1000</t>
  </si>
  <si>
    <t>33-3000</t>
  </si>
  <si>
    <t>33-4000</t>
  </si>
  <si>
    <t>33-5000</t>
  </si>
  <si>
    <t>33-7000</t>
  </si>
  <si>
    <t>34-0000</t>
  </si>
  <si>
    <t>34-1100</t>
  </si>
  <si>
    <t>34-1200</t>
  </si>
  <si>
    <t>40-0000</t>
  </si>
  <si>
    <t>40-1000</t>
  </si>
  <si>
    <t>41-0000</t>
  </si>
  <si>
    <t>41-2200</t>
  </si>
  <si>
    <t>50-0000</t>
  </si>
  <si>
    <t>BC-0000</t>
  </si>
  <si>
    <t>OB-0000</t>
  </si>
  <si>
    <t>OB-2014</t>
  </si>
  <si>
    <t>XW-0000</t>
  </si>
  <si>
    <t>GENERAL REQUIREMENTS</t>
  </si>
  <si>
    <t>Precon Project Executive</t>
  </si>
  <si>
    <t>Precon Senior Project Manager</t>
  </si>
  <si>
    <t>Precon Project Manager</t>
  </si>
  <si>
    <t>Precon Project Manager Assist</t>
  </si>
  <si>
    <t>Precon Construction Manager</t>
  </si>
  <si>
    <t>Precon Construction Mgr Senior</t>
  </si>
  <si>
    <t>Precon Superintendent</t>
  </si>
  <si>
    <t>Precon Business Development</t>
  </si>
  <si>
    <t>Precon Safety Coordinator</t>
  </si>
  <si>
    <t>Precon Project Engineer</t>
  </si>
  <si>
    <t>Precon Quality Control Manager</t>
  </si>
  <si>
    <t>Precon Project Assistant</t>
  </si>
  <si>
    <t>Precon Project Ctrls/Scheduler</t>
  </si>
  <si>
    <t>Precon Estimator</t>
  </si>
  <si>
    <t>Precon Cost Specialist</t>
  </si>
  <si>
    <t>Precon Project Coordinator</t>
  </si>
  <si>
    <t>Project Executive</t>
  </si>
  <si>
    <t>Senior Project Manager</t>
  </si>
  <si>
    <t>Project Manager</t>
  </si>
  <si>
    <t>Project Manager Assistant</t>
  </si>
  <si>
    <t>Construction Manager</t>
  </si>
  <si>
    <t>Senior Construction Manager</t>
  </si>
  <si>
    <t>Superintendent</t>
  </si>
  <si>
    <t>Field Support Supervisor</t>
  </si>
  <si>
    <t>Safety Coordinator</t>
  </si>
  <si>
    <t>Project Engineer</t>
  </si>
  <si>
    <t>Commissioning/QC</t>
  </si>
  <si>
    <t>Project Assistant</t>
  </si>
  <si>
    <t>Project Controls/Scheduler</t>
  </si>
  <si>
    <t>Estimator</t>
  </si>
  <si>
    <t>Project Cost Specialist</t>
  </si>
  <si>
    <t>Project Coordinator</t>
  </si>
  <si>
    <t>Mobilization/Demobilization</t>
  </si>
  <si>
    <t>Truck Driver</t>
  </si>
  <si>
    <t>Layout</t>
  </si>
  <si>
    <t>Safety Requirements</t>
  </si>
  <si>
    <t>Field Office Trailer</t>
  </si>
  <si>
    <t>Storage Trailer</t>
  </si>
  <si>
    <t>Job Security</t>
  </si>
  <si>
    <t>Photographs</t>
  </si>
  <si>
    <t>Shipping</t>
  </si>
  <si>
    <t>Drawings Reproduction</t>
  </si>
  <si>
    <t>Small Tools</t>
  </si>
  <si>
    <t>Current Clean-up</t>
  </si>
  <si>
    <t>Dumpsters</t>
  </si>
  <si>
    <t>Legal Fees</t>
  </si>
  <si>
    <t>Architectural Engineering Serv</t>
  </si>
  <si>
    <t>Plan Review Fees</t>
  </si>
  <si>
    <t>Permits</t>
  </si>
  <si>
    <t>Bonds</t>
  </si>
  <si>
    <t>Third Party Inspections</t>
  </si>
  <si>
    <t>Testing</t>
  </si>
  <si>
    <t>Certificate of Occupancy</t>
  </si>
  <si>
    <t>Scaffolding</t>
  </si>
  <si>
    <t>Weather Protection</t>
  </si>
  <si>
    <t>Temporary Partitions</t>
  </si>
  <si>
    <t>Temporary Barricades</t>
  </si>
  <si>
    <t>Temporary Utilities</t>
  </si>
  <si>
    <t>Temporary Facilities</t>
  </si>
  <si>
    <t>Temporary Fence</t>
  </si>
  <si>
    <t>Temporary Roads</t>
  </si>
  <si>
    <t>Traffic Control</t>
  </si>
  <si>
    <t>Final Clean-up</t>
  </si>
  <si>
    <t>Final Utilities</t>
  </si>
  <si>
    <t>Close outs/As-Builts</t>
  </si>
  <si>
    <t>Travel Expense</t>
  </si>
  <si>
    <t>Background Record Checks</t>
  </si>
  <si>
    <t>Drug Testing</t>
  </si>
  <si>
    <t>Advertisement for Bid</t>
  </si>
  <si>
    <t>Insurance</t>
  </si>
  <si>
    <t>Business Privilege Tax</t>
  </si>
  <si>
    <t>Certified Payroll Service Fee</t>
  </si>
  <si>
    <t>Families First Coronavirus Act</t>
  </si>
  <si>
    <t>Delay Damages</t>
  </si>
  <si>
    <t>Tools &amp; Equipment</t>
  </si>
  <si>
    <t>Temp Heat, Cooling &amp; Vent</t>
  </si>
  <si>
    <t>EXISTING CONDITIONS</t>
  </si>
  <si>
    <t>Subsurface Investigation</t>
  </si>
  <si>
    <t>Selective Site Demolition</t>
  </si>
  <si>
    <t>Structure Demolition</t>
  </si>
  <si>
    <t>Selective Demolition</t>
  </si>
  <si>
    <t>Flatwork Concrete Removal</t>
  </si>
  <si>
    <t>Structural Concrete Removal</t>
  </si>
  <si>
    <t>Concrete Demolition</t>
  </si>
  <si>
    <t>Masonry Demolition</t>
  </si>
  <si>
    <t>Steel Demolition</t>
  </si>
  <si>
    <t>Soil Remediation</t>
  </si>
  <si>
    <t>Hazardous Material Remediation</t>
  </si>
  <si>
    <t>CONCRETE</t>
  </si>
  <si>
    <t>Concrete Restoration</t>
  </si>
  <si>
    <t>Top Side Repairs</t>
  </si>
  <si>
    <t>Bottom Side Repairs</t>
  </si>
  <si>
    <t>Full Depth Repairs</t>
  </si>
  <si>
    <t>Wall Repairs</t>
  </si>
  <si>
    <t>Joint Repairs</t>
  </si>
  <si>
    <t>Crack Repairs</t>
  </si>
  <si>
    <t>Cast-In Concrete Anchors</t>
  </si>
  <si>
    <t>Drilled Dowels</t>
  </si>
  <si>
    <t>Reinforcement Bars</t>
  </si>
  <si>
    <t>Fabric &amp; Grid Reinforcing</t>
  </si>
  <si>
    <t>Concrete, Strip Footings</t>
  </si>
  <si>
    <t>Concrete, Independent Clm Ftg</t>
  </si>
  <si>
    <t>Concrete, Mat Slabs</t>
  </si>
  <si>
    <t>Concrete, Grade Beams</t>
  </si>
  <si>
    <t>Concrete, Independent Piers</t>
  </si>
  <si>
    <t>Concrete, Walls, up to 9'</t>
  </si>
  <si>
    <t>Concrete, Walls, over 9'</t>
  </si>
  <si>
    <t>Concrete, Slabs on Grade</t>
  </si>
  <si>
    <t>Concrete, Susp Slabs Mtl Deck</t>
  </si>
  <si>
    <t>Concrete, Formed Spnd Slabs</t>
  </si>
  <si>
    <t>Concrete, Stairs on Grade</t>
  </si>
  <si>
    <t>Concrete, Pan-Filled Stairs</t>
  </si>
  <si>
    <t>Concrete, Framed Stairs</t>
  </si>
  <si>
    <t>Concrete, Equipment Pads</t>
  </si>
  <si>
    <t>Concrete, Housekeeping Pads</t>
  </si>
  <si>
    <t>Concrete, Miscellaneous</t>
  </si>
  <si>
    <t>Precast Concrete</t>
  </si>
  <si>
    <t>Tilt-up Concrete</t>
  </si>
  <si>
    <t>Grouting</t>
  </si>
  <si>
    <t>Concrete Cutting</t>
  </si>
  <si>
    <t>Concrete Boring</t>
  </si>
  <si>
    <t>MASONRY</t>
  </si>
  <si>
    <t>Masonry Restoration</t>
  </si>
  <si>
    <t>Masonry</t>
  </si>
  <si>
    <t>METALS</t>
  </si>
  <si>
    <t>Structural Steel</t>
  </si>
  <si>
    <t>Metal Framing - Load Bear</t>
  </si>
  <si>
    <t>Miscellaneous Metals</t>
  </si>
  <si>
    <t>Cold-Formed Metal Framing</t>
  </si>
  <si>
    <t>Decorative Metal</t>
  </si>
  <si>
    <t>WOOD, PLASTICS &amp; COMPOSITES</t>
  </si>
  <si>
    <t>Roof Wood Blocking</t>
  </si>
  <si>
    <t>In Wall Wood Blocking</t>
  </si>
  <si>
    <t>In Wall Metal Blocking</t>
  </si>
  <si>
    <t>Wood Sheathing</t>
  </si>
  <si>
    <t>Wood Framing, Flooring</t>
  </si>
  <si>
    <t>Wood Framing, Walls</t>
  </si>
  <si>
    <t>Wood Framing, Ceilings</t>
  </si>
  <si>
    <t>Wood Framing, Roofing</t>
  </si>
  <si>
    <t>Heavy Timber Construction</t>
  </si>
  <si>
    <t>Laminated Veneer Lumber</t>
  </si>
  <si>
    <t>Wood Trusses</t>
  </si>
  <si>
    <t>Carpenter Foreman</t>
  </si>
  <si>
    <t>Carpenter</t>
  </si>
  <si>
    <t>Laborer</t>
  </si>
  <si>
    <t>Millwork</t>
  </si>
  <si>
    <t>Architectural Wood Casework</t>
  </si>
  <si>
    <t>Wood Paneling</t>
  </si>
  <si>
    <t>Wood Stairs &amp; Railings</t>
  </si>
  <si>
    <t>Ornamental Woodwork</t>
  </si>
  <si>
    <t>Wood Trim</t>
  </si>
  <si>
    <t>Wood Frames</t>
  </si>
  <si>
    <t>THERMAL &amp; MOISTURE PROTECTION</t>
  </si>
  <si>
    <t>Dampproofing &amp; Waterproofing</t>
  </si>
  <si>
    <t>Insulation</t>
  </si>
  <si>
    <t>EIFS</t>
  </si>
  <si>
    <t>Air Barrier</t>
  </si>
  <si>
    <t>Shingles &amp; Shakes</t>
  </si>
  <si>
    <t>Roof Panels</t>
  </si>
  <si>
    <t>Wall Panels</t>
  </si>
  <si>
    <t>Insulated Metal Panels</t>
  </si>
  <si>
    <t>Fabricated Wall Panel Assy</t>
  </si>
  <si>
    <t>Siding</t>
  </si>
  <si>
    <t>Membrane Roofing</t>
  </si>
  <si>
    <t>Flashing &amp; Sheet Metal</t>
  </si>
  <si>
    <t>Stainless Steel Wainscot</t>
  </si>
  <si>
    <t>Roof Specialties</t>
  </si>
  <si>
    <t>Spray Fireproofing</t>
  </si>
  <si>
    <t>Firestopping</t>
  </si>
  <si>
    <t>Joint Sealants</t>
  </si>
  <si>
    <t>Expansion Control</t>
  </si>
  <si>
    <t>OPENINGS</t>
  </si>
  <si>
    <t>Door Frames</t>
  </si>
  <si>
    <t>Door Leaf's</t>
  </si>
  <si>
    <t>Door Hardware</t>
  </si>
  <si>
    <t>Speciality Opening</t>
  </si>
  <si>
    <t>Access Doors &amp; Panels</t>
  </si>
  <si>
    <t>Overhead Doors</t>
  </si>
  <si>
    <t>Aluminum Storefront</t>
  </si>
  <si>
    <t>Automatic Entrances</t>
  </si>
  <si>
    <t>Curtain Wall Systems</t>
  </si>
  <si>
    <t>HM Windows</t>
  </si>
  <si>
    <t>Wood Windows</t>
  </si>
  <si>
    <t>Vinyl Windows</t>
  </si>
  <si>
    <t>Roof Windows &amp; Skylights</t>
  </si>
  <si>
    <t>Glazing</t>
  </si>
  <si>
    <t>Louvers &amp; Vents</t>
  </si>
  <si>
    <t>Louvered Equipment Enclosures</t>
  </si>
  <si>
    <t>FINISHES</t>
  </si>
  <si>
    <t>Drywall, Partitions, Load Bear</t>
  </si>
  <si>
    <t>Drywall, Partitions, N-L Bear</t>
  </si>
  <si>
    <t>Drywall, Shaft Walls</t>
  </si>
  <si>
    <t>GWB Ceiling Assembly</t>
  </si>
  <si>
    <t>GWB Soffit Assembly</t>
  </si>
  <si>
    <t>Metal Framing Furring</t>
  </si>
  <si>
    <t>Metal Framing- NL Bear</t>
  </si>
  <si>
    <t>Metal Stud Clips</t>
  </si>
  <si>
    <t>GWB Patching</t>
  </si>
  <si>
    <t>GWB Top Off</t>
  </si>
  <si>
    <t>GWB Full Sheets</t>
  </si>
  <si>
    <t>GWB Finishing</t>
  </si>
  <si>
    <t>Tile</t>
  </si>
  <si>
    <t>Acoustical Ceilings</t>
  </si>
  <si>
    <t>Specialty Ceilings</t>
  </si>
  <si>
    <t>Wood Ceilings</t>
  </si>
  <si>
    <t>Wood Flooring</t>
  </si>
  <si>
    <t>Resilient Flooring</t>
  </si>
  <si>
    <t>Terrazzo Flooring</t>
  </si>
  <si>
    <t>Fluid-Applied Flooring</t>
  </si>
  <si>
    <t>Carpeting</t>
  </si>
  <si>
    <t>Access Flooring</t>
  </si>
  <si>
    <t>Painting &amp; Wallcovering</t>
  </si>
  <si>
    <t>SPECIALTIES</t>
  </si>
  <si>
    <t>Visual Display Units</t>
  </si>
  <si>
    <t>Signage</t>
  </si>
  <si>
    <t>Traffic Signage</t>
  </si>
  <si>
    <t>Toilet Partitions</t>
  </si>
  <si>
    <t>Cubicle Curtains &amp; Track</t>
  </si>
  <si>
    <t>Operable Partitions</t>
  </si>
  <si>
    <t>Wiremesh Partitions</t>
  </si>
  <si>
    <t>Wall &amp; Door Protection</t>
  </si>
  <si>
    <t>FRP Wall Covering</t>
  </si>
  <si>
    <t>Toilet &amp; Bath Accessories</t>
  </si>
  <si>
    <t>Owner Furnished F-E</t>
  </si>
  <si>
    <t>Fireplaces &amp; Stoves</t>
  </si>
  <si>
    <t>Fire Protection Specialties</t>
  </si>
  <si>
    <t>Lockers</t>
  </si>
  <si>
    <t>Postal Specialties</t>
  </si>
  <si>
    <t>Storage Assemblies</t>
  </si>
  <si>
    <t>Wardrobe &amp; Closet Specialties</t>
  </si>
  <si>
    <t>Protective Covers</t>
  </si>
  <si>
    <t>Flagpoles</t>
  </si>
  <si>
    <t>Pest Control Devices</t>
  </si>
  <si>
    <t>EQUIPMENT</t>
  </si>
  <si>
    <t>Vehicle Service Equipment</t>
  </si>
  <si>
    <t>Parking Control Equipment</t>
  </si>
  <si>
    <t>Loading Dock Equipment</t>
  </si>
  <si>
    <t>Pedestrian Control Equipment</t>
  </si>
  <si>
    <t>Bank &amp; Vault Equipment</t>
  </si>
  <si>
    <t>Detention Equipment</t>
  </si>
  <si>
    <t>Mercantile &amp; Service Equipment</t>
  </si>
  <si>
    <t>Commercial Laundry/Cleaning Eq</t>
  </si>
  <si>
    <t>Maintenance Equipment</t>
  </si>
  <si>
    <t>Unit Kitchens</t>
  </si>
  <si>
    <t>Photographic Processing Equip</t>
  </si>
  <si>
    <t>Residential Appliances</t>
  </si>
  <si>
    <t>Retractable Stairs</t>
  </si>
  <si>
    <t>Foodservice Equipment</t>
  </si>
  <si>
    <t>Audio-Visual Equipment</t>
  </si>
  <si>
    <t>Laboratory Equipment</t>
  </si>
  <si>
    <t>Broadcast, Theater &amp; Stage Eq</t>
  </si>
  <si>
    <t>Athletic &amp; Recreational Equip</t>
  </si>
  <si>
    <t>Play Field Equip &amp; Structures</t>
  </si>
  <si>
    <t>Healthcare Equipment</t>
  </si>
  <si>
    <t>Collection &amp; Disposal Equip</t>
  </si>
  <si>
    <t>FURNISHINGS</t>
  </si>
  <si>
    <t>Window Treatments</t>
  </si>
  <si>
    <t>Manufactured Casework</t>
  </si>
  <si>
    <t>Countertops</t>
  </si>
  <si>
    <t>Rugs &amp; Mats</t>
  </si>
  <si>
    <t>Furniture</t>
  </si>
  <si>
    <t>Multiple Seating</t>
  </si>
  <si>
    <t>Site Furnishings</t>
  </si>
  <si>
    <t>SPECIAL CONSTRUCTION</t>
  </si>
  <si>
    <t>Swimming Pools</t>
  </si>
  <si>
    <t>Controlled Environment Rooms</t>
  </si>
  <si>
    <t>Metal Building Systems</t>
  </si>
  <si>
    <t>Modular Building Systems</t>
  </si>
  <si>
    <t>Radiation Protection</t>
  </si>
  <si>
    <t>CONVEYING EQUIPMENT</t>
  </si>
  <si>
    <t>Dumbwaiters</t>
  </si>
  <si>
    <t>Elevators</t>
  </si>
  <si>
    <t>Escalators &amp; Moving Walks</t>
  </si>
  <si>
    <t>Lifts</t>
  </si>
  <si>
    <t>Material Handling</t>
  </si>
  <si>
    <t>Other Conveying Equipment</t>
  </si>
  <si>
    <t>FIRE SUPPRESSION</t>
  </si>
  <si>
    <t>Fire Suppression</t>
  </si>
  <si>
    <t>PLUMBING</t>
  </si>
  <si>
    <t>Facility Trech Drain</t>
  </si>
  <si>
    <t>Compressed Air</t>
  </si>
  <si>
    <t>Plumbing</t>
  </si>
  <si>
    <t>Water Treatment</t>
  </si>
  <si>
    <t>Gas &amp; Vacuum Sys Lab Health</t>
  </si>
  <si>
    <t>Gas Piping</t>
  </si>
  <si>
    <t>HVAC</t>
  </si>
  <si>
    <t>HVAC Instrumentation &amp; Control</t>
  </si>
  <si>
    <t>Process Piping</t>
  </si>
  <si>
    <t>Mechanical Piping</t>
  </si>
  <si>
    <t>Refrigeration</t>
  </si>
  <si>
    <t>HVAC Equipment</t>
  </si>
  <si>
    <t>HVAC Testing &amp; Balancing</t>
  </si>
  <si>
    <t>INTEGRATED AUTOMATION</t>
  </si>
  <si>
    <t>Integrated Facility Controls</t>
  </si>
  <si>
    <t>Process Control</t>
  </si>
  <si>
    <t>ELECTRICAL</t>
  </si>
  <si>
    <t>Electrical</t>
  </si>
  <si>
    <t>High Voltage Electrical</t>
  </si>
  <si>
    <t>COMMUNICATIONS</t>
  </si>
  <si>
    <t>Communications</t>
  </si>
  <si>
    <t>Audio-Video Communications</t>
  </si>
  <si>
    <t>ELECTRONIC SAFETY &amp; SECURITY</t>
  </si>
  <si>
    <t>Security and Access Control</t>
  </si>
  <si>
    <t>Fire Detection &amp; Alarm</t>
  </si>
  <si>
    <t>EARTHWORK</t>
  </si>
  <si>
    <t>Clearing &amp; Grubbing</t>
  </si>
  <si>
    <t>Selective Tree &amp; Shrub Removal</t>
  </si>
  <si>
    <t>Grading</t>
  </si>
  <si>
    <t>Excavation</t>
  </si>
  <si>
    <t>Dewatering</t>
  </si>
  <si>
    <t>Backfill and Compaction</t>
  </si>
  <si>
    <t>Trenching</t>
  </si>
  <si>
    <t>Erosion &amp; Sedimentation Cntrls</t>
  </si>
  <si>
    <t>Rodent &amp; Termite Control</t>
  </si>
  <si>
    <t>Soil Stabilization</t>
  </si>
  <si>
    <t>Riprap</t>
  </si>
  <si>
    <t>Shoring</t>
  </si>
  <si>
    <t>Underpinning</t>
  </si>
  <si>
    <t>Piling</t>
  </si>
  <si>
    <t>Tunneling &amp; Mining</t>
  </si>
  <si>
    <t>EXTERIOR IMPROVEMENTS</t>
  </si>
  <si>
    <t>Paving Repair</t>
  </si>
  <si>
    <t>Snow Removal</t>
  </si>
  <si>
    <t>Base Courses</t>
  </si>
  <si>
    <t>Asphalt Paving</t>
  </si>
  <si>
    <t>Concrete Paving</t>
  </si>
  <si>
    <t>Curbs</t>
  </si>
  <si>
    <t>Sidewalks</t>
  </si>
  <si>
    <t>Monolithic Curb/Sidewalk</t>
  </si>
  <si>
    <t>Parking Barriers/Bumpers</t>
  </si>
  <si>
    <t>Pavement Markings</t>
  </si>
  <si>
    <t>Fences &amp; Gates</t>
  </si>
  <si>
    <t>Retaining Walls</t>
  </si>
  <si>
    <t>Manufactured Metal Bollards</t>
  </si>
  <si>
    <t>Landscaping</t>
  </si>
  <si>
    <t>UTILITIES</t>
  </si>
  <si>
    <t>Water Utilities</t>
  </si>
  <si>
    <t>Sanitary Sewerage Utilities</t>
  </si>
  <si>
    <t>Storm Drainage Utilities</t>
  </si>
  <si>
    <t>Fuel Distribution Utilities</t>
  </si>
  <si>
    <t>Electrical Utilities</t>
  </si>
  <si>
    <t>TRANSPORTATION</t>
  </si>
  <si>
    <t>Rail Tracks</t>
  </si>
  <si>
    <t>Monorails</t>
  </si>
  <si>
    <t>PROCESS INTERCONNECTIONS</t>
  </si>
  <si>
    <t>Process Interconnections</t>
  </si>
  <si>
    <t>MATL PROCESSING/HANDLING EQUIP</t>
  </si>
  <si>
    <t>Cranes &amp; Hoists</t>
  </si>
  <si>
    <t>ALLOWANCES</t>
  </si>
  <si>
    <t>Backcharges</t>
  </si>
  <si>
    <t>EXTRA WORK ITEMS</t>
  </si>
  <si>
    <t>01-1212</t>
  </si>
  <si>
    <t>Item ID</t>
  </si>
  <si>
    <t xml:space="preserve"> </t>
  </si>
  <si>
    <t>Contract Item</t>
  </si>
  <si>
    <t>Cost Type</t>
  </si>
  <si>
    <t>[MAP].[T_TRANS_COST_TYPE]</t>
  </si>
  <si>
    <t>E</t>
  </si>
  <si>
    <t>EO</t>
  </si>
  <si>
    <t>FT</t>
  </si>
  <si>
    <t>IDE</t>
  </si>
  <si>
    <t>IDI</t>
  </si>
  <si>
    <t>IHE</t>
  </si>
  <si>
    <t>ILI</t>
  </si>
  <si>
    <t>L</t>
  </si>
  <si>
    <t>LFT</t>
  </si>
  <si>
    <t>LFU</t>
  </si>
  <si>
    <t>LPS</t>
  </si>
  <si>
    <t>LSD</t>
  </si>
  <si>
    <t>LSH</t>
  </si>
  <si>
    <t>LSU</t>
  </si>
  <si>
    <t>LTC</t>
  </si>
  <si>
    <t>LU</t>
  </si>
  <si>
    <t>LUB</t>
  </si>
  <si>
    <t>LWC</t>
  </si>
  <si>
    <t>LWF</t>
  </si>
  <si>
    <t>M</t>
  </si>
  <si>
    <t>O</t>
  </si>
  <si>
    <t>P</t>
  </si>
  <si>
    <t>S</t>
  </si>
  <si>
    <t>Equipment Rented</t>
  </si>
  <si>
    <t>Equipment Owned</t>
  </si>
  <si>
    <t>Freight &amp; Sales Tax</t>
  </si>
  <si>
    <t>Insurance Dental Employee (DNU)</t>
  </si>
  <si>
    <t>Insurance STD Employee (DNU)</t>
  </si>
  <si>
    <t>Insurance Health Employee (DNU)</t>
  </si>
  <si>
    <t>Insurance Life Employee (DNU)</t>
  </si>
  <si>
    <t>Labor</t>
  </si>
  <si>
    <t>FICA Withholding Tax (DNU)</t>
  </si>
  <si>
    <t>FUTA Unemployment Tax (DNU)</t>
  </si>
  <si>
    <t>Pension Profit Sharing (DNU)</t>
  </si>
  <si>
    <t>State Disability Insurance (DNU)</t>
  </si>
  <si>
    <t>Pension Safe Harbor (DNU)</t>
  </si>
  <si>
    <t>State Unemployment Tax (DNU)</t>
  </si>
  <si>
    <t>Labor Small Tool Charge (DNU)</t>
  </si>
  <si>
    <t>Labor Union Fringe</t>
  </si>
  <si>
    <t>Union Benefits (DNU)</t>
  </si>
  <si>
    <t>Insurance Worker Compensation (DNU)</t>
  </si>
  <si>
    <t>State Workforce Tax (DNU)</t>
  </si>
  <si>
    <t>Material</t>
  </si>
  <si>
    <t>Non Material Purchases</t>
  </si>
  <si>
    <t>Purchase Orders</t>
  </si>
  <si>
    <t>Subcontractors</t>
  </si>
  <si>
    <t>5205</t>
  </si>
  <si>
    <t>5200</t>
  </si>
  <si>
    <t>5100</t>
  </si>
  <si>
    <t>5020</t>
  </si>
  <si>
    <t>5000</t>
  </si>
  <si>
    <t>5005</t>
  </si>
  <si>
    <t>5010</t>
  </si>
  <si>
    <t>5220</t>
  </si>
  <si>
    <t>5015</t>
  </si>
  <si>
    <t>5025</t>
  </si>
  <si>
    <t>5105</t>
  </si>
  <si>
    <t>5110</t>
  </si>
  <si>
    <t>Employee</t>
  </si>
  <si>
    <t>[MAP].[T_TRANS_EMPLOYEE]</t>
  </si>
  <si>
    <t>EE1</t>
  </si>
  <si>
    <t>EE2</t>
  </si>
  <si>
    <t>EE3</t>
  </si>
  <si>
    <t>John Smith</t>
  </si>
  <si>
    <t>James Smith</t>
  </si>
  <si>
    <t>Kathy Smith</t>
  </si>
  <si>
    <t>E0001</t>
  </si>
  <si>
    <t>E0002</t>
  </si>
  <si>
    <t>E0003</t>
  </si>
  <si>
    <t>Inventory Item</t>
  </si>
  <si>
    <t>00123546</t>
  </si>
  <si>
    <t>00123567</t>
  </si>
  <si>
    <t>00123568</t>
  </si>
  <si>
    <t>Widget A</t>
  </si>
  <si>
    <t>Widget B</t>
  </si>
  <si>
    <t>Widget C</t>
  </si>
  <si>
    <t>ITM-001</t>
  </si>
  <si>
    <t>ITM-002</t>
  </si>
  <si>
    <t>ITM-003</t>
  </si>
  <si>
    <t>[MAP].[T_TRANS_ITEM]</t>
  </si>
  <si>
    <t>Warehouse</t>
  </si>
  <si>
    <t>[MAP].[T_TRANS_WAREHOUSE]</t>
  </si>
  <si>
    <t>Location ID</t>
  </si>
  <si>
    <t>OH123</t>
  </si>
  <si>
    <t>FL124</t>
  </si>
  <si>
    <t>IN125</t>
  </si>
  <si>
    <t>Ohio Main</t>
  </si>
  <si>
    <t>Florida Main</t>
  </si>
  <si>
    <t>Indiana Main</t>
  </si>
  <si>
    <t>OH</t>
  </si>
  <si>
    <t>FL</t>
  </si>
  <si>
    <t>IN</t>
  </si>
  <si>
    <t>Field</t>
  </si>
  <si>
    <t>Value</t>
  </si>
  <si>
    <t>GL01_BALANCE_END</t>
  </si>
  <si>
    <t>GL02_MONTHLY_START</t>
  </si>
  <si>
    <t>GL02_MONTHLY_STOP</t>
  </si>
  <si>
    <t>GL03_DETAIL_START</t>
  </si>
  <si>
    <t>GL03_DETAIL_STOP</t>
  </si>
  <si>
    <t>[MAP].[E_USEFUL_FIELDS]</t>
  </si>
  <si>
    <t>[MAP].[T_TRANS_ENTITY]</t>
  </si>
  <si>
    <t>Data Folder</t>
  </si>
  <si>
    <t>Entity ID</t>
  </si>
  <si>
    <t>PKG_BASE</t>
  </si>
  <si>
    <t>PKG_CONSTR_SUM</t>
  </si>
  <si>
    <t>PKG_CONSTR_DET</t>
  </si>
  <si>
    <t>PKG_NPC_COMMIT</t>
  </si>
  <si>
    <t>PKG_PC_COMMIT</t>
  </si>
  <si>
    <t>PKG_PAYROLL</t>
  </si>
  <si>
    <t>inter</t>
  </si>
  <si>
    <t>paint</t>
  </si>
  <si>
    <t>prem</t>
  </si>
  <si>
    <t>Data Folder Description</t>
  </si>
  <si>
    <t>Job Extra</t>
  </si>
  <si>
    <t>Job Description</t>
  </si>
  <si>
    <t>GL Account Description</t>
  </si>
  <si>
    <t>Department Description</t>
  </si>
  <si>
    <t>Class Description</t>
  </si>
  <si>
    <t>Vendor Description</t>
  </si>
  <si>
    <t>Customer Description</t>
  </si>
  <si>
    <t>Cost Code Description</t>
  </si>
  <si>
    <t>Cost Type Description</t>
  </si>
  <si>
    <t>Employee Description</t>
  </si>
  <si>
    <t>Inventory Item Description</t>
  </si>
  <si>
    <t>Warehouse Description</t>
  </si>
  <si>
    <t>schi</t>
  </si>
  <si>
    <t>Test001</t>
  </si>
  <si>
    <t>Test002</t>
  </si>
  <si>
    <t>Test003</t>
  </si>
  <si>
    <t>Test004</t>
  </si>
  <si>
    <t>14-117</t>
  </si>
  <si>
    <t>16-599</t>
  </si>
  <si>
    <t>17-005</t>
  </si>
  <si>
    <t>17-101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</si>
</sst>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5" x14ac:knownFonts="1"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1"/>
      <color indexed="8"/>
      <name val="Calibri"/>
      <charset val="1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2" fillId="0" borderId="0" xfId="0" applyFont="1" applyAlignment="1">
      <alignment horizontal="center" vertical="top" readingOrder="1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top" readingOrder="1"/>
    </xf>
    <xf numFmtId="0" fontId="0" fillId="4" borderId="1" xfId="0" applyFill="1" applyBorder="1" applyAlignment="1">
      <alignment horizontal="center"/>
    </xf>
    <xf numFmtId="49" fontId="0" fillId="0" borderId="0" xfId="0" applyNumberFormat="1" applyAlignment="1">
      <alignment horizontal="left"/>
    </xf>
    <xf numFmtId="49" fontId="3" fillId="0" borderId="0" xfId="0" applyNumberFormat="1" applyFont="1" applyAlignment="1">
      <alignment horizontal="left" vertical="top" readingOrder="1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0" fontId="1" fillId="4" borderId="1" xfId="0" applyFont="1" applyFill="1" applyBorder="1" applyAlignment="1">
      <alignment horizontal="left"/>
    </xf>
    <xf numFmtId="0" fontId="4" fillId="0" borderId="0" xfId="0" applyFont="1" applyAlignment="1">
      <alignment horizontal="center" vertical="top" readingOrder="1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217F-1EC0-4E97-AFAE-DA0517ECFB5D}">
  <dimension ref="A2:C10"/>
  <sheetViews>
    <sheetView zoomScale="170" zoomScaleNormal="170" workbookViewId="0">
      <selection activeCell="C3" sqref="C3"/>
    </sheetView>
  </sheetViews>
  <sheetFormatPr defaultRowHeight="15" x14ac:dyDescent="0.25"/>
  <cols>
    <col min="1" max="1" width="20.42578125" bestFit="1" customWidth="1"/>
    <col min="2" max="2" width="15" customWidth="1"/>
    <col min="3" max="3" width="25.140625" customWidth="1"/>
  </cols>
  <sheetData>
    <row r="2" spans="1:3" x14ac:dyDescent="0.25">
      <c r="A2" t="s">
        <v>8</v>
      </c>
      <c r="B2" s="1" t="s">
        <v>10</v>
      </c>
    </row>
    <row r="3" spans="1:3" x14ac:dyDescent="0.25">
      <c r="A3" t="s">
        <v>9</v>
      </c>
      <c r="B3" s="1" t="s">
        <v>11</v>
      </c>
    </row>
    <row r="5" spans="1:3" x14ac:dyDescent="0.25">
      <c r="A5" s="8" t="s">
        <v>4210</v>
      </c>
      <c r="B5" s="8" t="s">
        <v>4211</v>
      </c>
      <c r="C5" s="13" t="s">
        <v>4217</v>
      </c>
    </row>
    <row r="6" spans="1:3" x14ac:dyDescent="0.25">
      <c r="A6" t="s">
        <v>4212</v>
      </c>
      <c r="B6" s="12">
        <v>45657</v>
      </c>
      <c r="C6" t="str">
        <f t="shared" ref="C6:C9" si="0">"UPDATE "&amp;C$5&amp;" SET FIELD_VALUE = '"&amp;TEXT(B6,"YYYY-MM-DD")&amp;"' WHERE FIELD_NAME = '"&amp;A6&amp;"'"</f>
        <v>UPDATE [MAP].[E_USEFUL_FIELDS] SET FIELD_VALUE = '2024-12-31' WHERE FIELD_NAME = 'GL01_BALANCE_END'</v>
      </c>
    </row>
    <row r="7" spans="1:3" x14ac:dyDescent="0.25">
      <c r="A7" t="s">
        <v>4213</v>
      </c>
      <c r="B7" s="12">
        <v>45658</v>
      </c>
      <c r="C7" t="str">
        <f t="shared" si="0"/>
        <v>UPDATE [MAP].[E_USEFUL_FIELDS] SET FIELD_VALUE = '2025-01-01' WHERE FIELD_NAME = 'GL02_MONTHLY_START'</v>
      </c>
    </row>
    <row r="8" spans="1:3" x14ac:dyDescent="0.25">
      <c r="A8" t="s">
        <v>4214</v>
      </c>
      <c r="B8" s="12">
        <v>46022</v>
      </c>
      <c r="C8" t="str">
        <f t="shared" si="0"/>
        <v>UPDATE [MAP].[E_USEFUL_FIELDS] SET FIELD_VALUE = '2025-12-31' WHERE FIELD_NAME = 'GL02_MONTHLY_STOP'</v>
      </c>
    </row>
    <row r="9" spans="1:3" x14ac:dyDescent="0.25">
      <c r="A9" t="s">
        <v>4215</v>
      </c>
      <c r="B9" s="12">
        <v>46023</v>
      </c>
      <c r="C9" t="str">
        <f t="shared" si="0"/>
        <v>UPDATE [MAP].[E_USEFUL_FIELDS] SET FIELD_VALUE = '2026-01-01' WHERE FIELD_NAME = 'GL03_DETAIL_START'</v>
      </c>
    </row>
    <row r="10" spans="1:3" x14ac:dyDescent="0.25">
      <c r="A10" t="s">
        <v>4216</v>
      </c>
      <c r="B10" s="12">
        <v>46081</v>
      </c>
      <c r="C10" t="str">
        <f>"UPDATE "&amp;C$5&amp;" SET FIELD_VALUE = '"&amp;TEXT(B10,"YYYY-MM-DD")&amp;"' WHERE FIELD_NAME = '"&amp;A10&amp;"'"</f>
        <v>UPDATE [MAP].[E_USEFUL_FIELDS] SET FIELD_VALUE = '2026-02-28' WHERE FIELD_NAME = 'GL03_DETAIL_STOP'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497F-A6DC-4560-A4EF-D950D9E5738E}">
  <dimension ref="A1:L6"/>
  <sheetViews>
    <sheetView zoomScale="130" zoomScaleNormal="130" workbookViewId="0">
      <pane ySplit="3" topLeftCell="A5" activePane="bottomLeft" state="frozen"/>
      <selection pane="bottomLeft" activeCell="G9" sqref="G9"/>
    </sheetView>
  </sheetViews>
  <sheetFormatPr defaultColWidth="8.85546875" defaultRowHeight="15" x14ac:dyDescent="0.25"/>
  <cols>
    <col min="1" max="1" width="12.42578125" style="2" bestFit="1" customWidth="1"/>
    <col min="2" max="2" width="25.28515625" customWidth="1"/>
    <col min="3" max="3" width="11.85546875" style="11" customWidth="1"/>
    <col min="4" max="4" width="9.5703125" style="5" bestFit="1" customWidth="1"/>
    <col min="5" max="5" width="17.140625" style="5" bestFit="1" customWidth="1"/>
    <col min="6" max="6" width="16.5703125" style="5" bestFit="1" customWidth="1"/>
    <col min="7" max="7" width="16.5703125" style="5" customWidth="1"/>
    <col min="8" max="8" width="16.85546875" style="5" bestFit="1" customWidth="1"/>
    <col min="9" max="9" width="15.7109375" style="5" bestFit="1" customWidth="1"/>
    <col min="10" max="10" width="33.5703125" customWidth="1"/>
    <col min="11" max="11" width="8.28515625" bestFit="1" customWidth="1"/>
    <col min="12" max="12" width="10" customWidth="1"/>
  </cols>
  <sheetData>
    <row r="1" spans="1:12" x14ac:dyDescent="0.25">
      <c r="A1" s="17" t="str">
        <f>"Legacy ERP: "&amp;Controls!$B$2</f>
        <v>Legacy ERP: Sage 300 CRE</v>
      </c>
      <c r="B1" s="19"/>
      <c r="C1" s="18" t="str">
        <f>"New ERP: "&amp;Controls!$B$3</f>
        <v>New ERP: Sage Intacct</v>
      </c>
      <c r="D1" s="18"/>
      <c r="E1" s="18"/>
      <c r="F1" s="18"/>
      <c r="G1" s="18"/>
      <c r="H1" s="18"/>
      <c r="I1" s="19"/>
    </row>
    <row r="2" spans="1:12" ht="4.9000000000000004" customHeight="1" x14ac:dyDescent="0.25">
      <c r="C2" s="2"/>
      <c r="D2" s="2"/>
      <c r="E2" s="2"/>
      <c r="F2" s="2"/>
      <c r="G2" s="2"/>
      <c r="H2" s="2"/>
      <c r="I2" s="2"/>
    </row>
    <row r="3" spans="1:12" x14ac:dyDescent="0.25">
      <c r="A3" s="8" t="s">
        <v>4219</v>
      </c>
      <c r="B3" s="8" t="s">
        <v>4230</v>
      </c>
      <c r="C3" s="8" t="s">
        <v>4220</v>
      </c>
      <c r="D3" s="8" t="s">
        <v>4221</v>
      </c>
      <c r="E3" s="8" t="s">
        <v>4222</v>
      </c>
      <c r="F3" s="8" t="s">
        <v>4223</v>
      </c>
      <c r="G3" s="8" t="s">
        <v>4226</v>
      </c>
      <c r="H3" s="8" t="s">
        <v>4224</v>
      </c>
      <c r="I3" s="8" t="s">
        <v>4225</v>
      </c>
      <c r="J3" s="15" t="s">
        <v>4218</v>
      </c>
      <c r="K3" s="16" t="s">
        <v>12</v>
      </c>
      <c r="L3" s="16" t="s">
        <v>2</v>
      </c>
    </row>
    <row r="4" spans="1:12" x14ac:dyDescent="0.25">
      <c r="A4" s="14" t="s">
        <v>4227</v>
      </c>
      <c r="C4" s="11">
        <v>100</v>
      </c>
      <c r="D4" s="5">
        <v>1</v>
      </c>
      <c r="E4" s="5">
        <v>1</v>
      </c>
      <c r="F4" s="5">
        <v>1</v>
      </c>
      <c r="G4" s="5">
        <v>0</v>
      </c>
      <c r="H4" s="5">
        <v>1</v>
      </c>
      <c r="I4" s="5">
        <v>0</v>
      </c>
      <c r="J4" t="str">
        <f>"UPDATE "&amp;J$3&amp;" SET NEW_ENTITY_ID = '"&amp;TRIM(C4)&amp;"', PKG_BASE = "&amp;D4&amp;", PKG_CONSTR_SUM = '"&amp;E4&amp;"', PKG_CONSTR_DET = '"&amp;F4&amp;"', PKG_PAYROLL = '"&amp;G4&amp;"', PKG_NPC_COMMIT = '"&amp;H4&amp;"', PKG_PC_COMMIT = '"&amp;I4&amp; "'"&amp;" WHERE  Data_Folder_Id = '"&amp;A4&amp;"'"</f>
        <v>UPDATE [MAP].[T_TRANS_ENTITY] SET NEW_ENTITY_ID = '100', PKG_BASE = 1, PKG_CONSTR_SUM = '1', PKG_CONSTR_DET = '1', PKG_PAYROLL = '0', PKG_NPC_COMMIT = '1', PKG_PC_COMMIT = '0' WHERE  Data_Folder_Id = 'inter'</v>
      </c>
      <c r="K4" t="str">
        <f>IF(A4&lt;&gt;C4,"Changed","-")</f>
        <v>Changed</v>
      </c>
      <c r="L4" t="str">
        <f>IF(A4="","Hide","-")</f>
        <v>-</v>
      </c>
    </row>
    <row r="5" spans="1:12" x14ac:dyDescent="0.25">
      <c r="A5" s="14" t="s">
        <v>4228</v>
      </c>
      <c r="C5" s="11">
        <v>200</v>
      </c>
      <c r="D5" s="5">
        <v>1</v>
      </c>
      <c r="E5" s="5">
        <v>1</v>
      </c>
      <c r="F5" s="5">
        <v>1</v>
      </c>
      <c r="G5" s="5">
        <v>0</v>
      </c>
      <c r="H5" s="5">
        <v>0</v>
      </c>
      <c r="I5" s="5">
        <v>0</v>
      </c>
      <c r="J5" t="str">
        <f>"UPDATE "&amp;J$3&amp;" SET NEW_ENTITY_ID = '"&amp;TRIM(C5)&amp;"', PKG_BASE = "&amp;D5&amp;", PKG_CONSTR_SUM = '"&amp;E5&amp;"', PKG_CONSTR_DET = '"&amp;F5&amp;"', PKG_PAYROLL = '"&amp;G5&amp;"', PKG_NPC_COMMIT = '"&amp;H5&amp;"', PKG_PC_COMMIT = '"&amp;I5&amp; "'"&amp;" WHERE  Data_Folder_Id = '"&amp;A5&amp;"'"</f>
        <v>UPDATE [MAP].[T_TRANS_ENTITY] SET NEW_ENTITY_ID = '200', PKG_BASE = 1, PKG_CONSTR_SUM = '1', PKG_CONSTR_DET = '1', PKG_PAYROLL = '0', PKG_NPC_COMMIT = '0', PKG_PC_COMMIT = '0' WHERE  Data_Folder_Id = 'paint'</v>
      </c>
      <c r="K5" t="str">
        <f>IF(A5&lt;&gt;C5,"Changed","-")</f>
        <v>Changed</v>
      </c>
      <c r="L5" t="str">
        <f>IF(A5="","Hide","-")</f>
        <v>-</v>
      </c>
    </row>
    <row r="6" spans="1:12" x14ac:dyDescent="0.25">
      <c r="A6" s="14" t="s">
        <v>4229</v>
      </c>
      <c r="C6" s="11">
        <v>300</v>
      </c>
      <c r="D6" s="5">
        <v>1</v>
      </c>
      <c r="E6" s="5">
        <v>1</v>
      </c>
      <c r="F6" s="5">
        <v>1</v>
      </c>
      <c r="G6" s="5">
        <v>0</v>
      </c>
      <c r="H6" s="5">
        <v>0</v>
      </c>
      <c r="I6" s="5">
        <v>0</v>
      </c>
      <c r="J6" t="str">
        <f>"UPDATE "&amp;J$3&amp;" SET NEW_ENTITY_ID = '"&amp;TRIM(C6)&amp;"', PKG_BASE = "&amp;D6&amp;", PKG_CONSTR_SUM = '"&amp;E6&amp;"', PKG_CONSTR_DET = '"&amp;F6&amp;"', PKG_PAYROLL = '"&amp;G6&amp;"', PKG_NPC_COMMIT = '"&amp;H6&amp;"', PKG_PC_COMMIT = '"&amp;I6&amp; "'"&amp;" WHERE  Data_Folder_Id = '"&amp;A6&amp;"'"</f>
        <v>UPDATE [MAP].[T_TRANS_ENTITY] SET NEW_ENTITY_ID = '300', PKG_BASE = 1, PKG_CONSTR_SUM = '1', PKG_CONSTR_DET = '1', PKG_PAYROLL = '0', PKG_NPC_COMMIT = '0', PKG_PC_COMMIT = '0' WHERE  Data_Folder_Id = 'prem'</v>
      </c>
      <c r="K6" t="str">
        <f>IF(A6&lt;&gt;C6,"Changed","-")</f>
        <v>Changed</v>
      </c>
      <c r="L6" t="str">
        <f>IF(A6="","Hide","-")</f>
        <v>-</v>
      </c>
    </row>
  </sheetData>
  <mergeCells count="2">
    <mergeCell ref="A1:B1"/>
    <mergeCell ref="C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FD26-5D05-4A69-9815-7B14EA6BFB5F}">
  <dimension ref="A1:N7"/>
  <sheetViews>
    <sheetView tabSelected="1" zoomScale="130" zoomScaleNormal="130" workbookViewId="0">
      <pane ySplit="3" topLeftCell="A4" activePane="bottomLeft" state="frozen"/>
      <selection pane="bottomLeft" activeCell="C13" sqref="C13"/>
    </sheetView>
  </sheetViews>
  <sheetFormatPr defaultRowHeight="15" x14ac:dyDescent="0.25"/>
  <cols>
    <col min="1" max="1" width="12.7109375" style="2" bestFit="1" customWidth="1"/>
    <col min="2" max="2" width="12.42578125" style="9" bestFit="1" customWidth="1"/>
    <col min="3" max="3" width="12.42578125" style="9" customWidth="1"/>
    <col min="4" max="4" width="25.28515625" customWidth="1"/>
    <col min="5" max="5" width="7.85546875" style="5" bestFit="1" customWidth="1"/>
    <col min="6" max="6" width="11.85546875" style="11" customWidth="1"/>
    <col min="7" max="11" width="13.140625" style="11" customWidth="1"/>
    <col min="12" max="12" width="33.5703125" customWidth="1"/>
    <col min="13" max="13" width="8.28515625" bestFit="1" customWidth="1"/>
    <col min="14" max="14" width="10" customWidth="1"/>
  </cols>
  <sheetData>
    <row r="1" spans="1:14" x14ac:dyDescent="0.25">
      <c r="A1" s="20" t="str">
        <f>"Legacy ERP: "&amp;Controls!$B$2</f>
        <v>Legacy ERP: Sage 300 CRE</v>
      </c>
      <c r="B1" s="20"/>
      <c r="C1" s="20"/>
      <c r="D1" s="20"/>
      <c r="E1" s="17" t="str">
        <f>"New ERP: "&amp;Controls!$B$3</f>
        <v>New ERP: Sage Intacct</v>
      </c>
      <c r="F1" s="18"/>
      <c r="G1" s="18"/>
      <c r="H1" s="18"/>
      <c r="I1" s="18"/>
      <c r="J1" s="18"/>
      <c r="K1" s="19"/>
    </row>
    <row r="2" spans="1:14" ht="4.9000000000000004" customHeight="1" x14ac:dyDescent="0.25">
      <c r="E2" s="2"/>
      <c r="F2" s="2"/>
      <c r="G2" s="2"/>
      <c r="H2" s="2"/>
      <c r="I2" s="2"/>
      <c r="J2" s="2"/>
      <c r="K2" s="2"/>
    </row>
    <row r="3" spans="1:14" x14ac:dyDescent="0.25">
      <c r="A3" s="8" t="s">
        <v>7</v>
      </c>
      <c r="B3" s="8" t="s">
        <v>3383</v>
      </c>
      <c r="C3" s="8" t="s">
        <v>4231</v>
      </c>
      <c r="D3" s="8" t="s">
        <v>4232</v>
      </c>
      <c r="E3" s="8" t="s">
        <v>3400</v>
      </c>
      <c r="F3" s="8" t="s">
        <v>3383</v>
      </c>
      <c r="G3" s="8" t="s">
        <v>3385</v>
      </c>
      <c r="H3" s="8" t="s">
        <v>3384</v>
      </c>
      <c r="I3" s="8" t="s">
        <v>3386</v>
      </c>
      <c r="J3" s="8" t="s">
        <v>3387</v>
      </c>
      <c r="K3" s="8" t="s">
        <v>3388</v>
      </c>
      <c r="L3" s="15" t="s">
        <v>3389</v>
      </c>
      <c r="M3" s="16" t="s">
        <v>12</v>
      </c>
      <c r="N3" s="16" t="s">
        <v>2</v>
      </c>
    </row>
    <row r="4" spans="1:14" x14ac:dyDescent="0.25">
      <c r="A4" s="2" t="s">
        <v>4243</v>
      </c>
      <c r="B4" s="10" t="s">
        <v>4248</v>
      </c>
      <c r="C4" s="10"/>
      <c r="D4" t="s">
        <v>3390</v>
      </c>
      <c r="E4" s="5" t="s">
        <v>3401</v>
      </c>
      <c r="F4" s="11" t="s">
        <v>4244</v>
      </c>
      <c r="G4" s="11" t="s">
        <v>27</v>
      </c>
      <c r="H4" s="11" t="s">
        <v>3394</v>
      </c>
      <c r="I4" s="11" t="s">
        <v>3395</v>
      </c>
      <c r="J4" s="11" t="s">
        <v>3211</v>
      </c>
      <c r="K4" s="11" t="s">
        <v>3396</v>
      </c>
      <c r="L4" t="str">
        <f>"UPDATE "&amp;L$3&amp;" SET NEW_JOB_ID = '"&amp;TRIM(F4)&amp;"', INCLUDE_JOB = "&amp;IF(E4="Yes",1,0)&amp;", NEW_ENTITY_ID = '"&amp;G4&amp;"', NEW_DEPARTMENT_ID = '"&amp;H4&amp;"', NEW_CLASS_ID = '"&amp;I4&amp;"', NEW_CUSTOMER_ID = '"&amp;J4&amp;"', NEW_PM_ID = '"&amp;K4&amp; "'"&amp;" WHERE LEGACY_JOB_ID = '"&amp;TRIM(B4)&amp;"' AND Data_Folder_Id = '"&amp;A4&amp;"'"</f>
        <v>UPDATE [MAP].[T_TRANS_JOB] SET NEW_JOB_ID = 'Test001', INCLUDE_JOB = 1, NEW_ENTITY_ID = 'PA', NEW_DEPARTMENT_ID = 'Commercial', NEW_CLASS_ID = 'CM', NEW_CUSTOMER_ID = 'C0056', NEW_PM_ID = '10024' WHERE LEGACY_JOB_ID = '14-117' AND Data_Folder_Id = 'schi'</v>
      </c>
      <c r="M4" t="str">
        <f>IF(B4&lt;&gt;F4,"Changed","-")</f>
        <v>Changed</v>
      </c>
      <c r="N4" t="str">
        <f>IF(B4="","Hide","-")</f>
        <v>-</v>
      </c>
    </row>
    <row r="5" spans="1:14" x14ac:dyDescent="0.25">
      <c r="A5" s="2" t="s">
        <v>4243</v>
      </c>
      <c r="B5" s="10" t="s">
        <v>4249</v>
      </c>
      <c r="C5" s="10"/>
      <c r="D5" t="s">
        <v>3391</v>
      </c>
      <c r="E5" s="5" t="s">
        <v>3401</v>
      </c>
      <c r="F5" s="11" t="s">
        <v>4245</v>
      </c>
      <c r="G5" s="11" t="s">
        <v>27</v>
      </c>
      <c r="H5" s="11" t="s">
        <v>3394</v>
      </c>
      <c r="I5" s="11" t="s">
        <v>3395</v>
      </c>
      <c r="J5" s="11" t="s">
        <v>3211</v>
      </c>
      <c r="K5" s="11" t="s">
        <v>3396</v>
      </c>
      <c r="L5" t="str">
        <f t="shared" ref="L5:L7" si="0">"UPDATE "&amp;L$3&amp;" SET NEW_JOB_ID = '"&amp;TRIM(F5)&amp;"', INCLUDE_JOB = "&amp;IF(E5="Yes",1,0)&amp;", NEW_ENTITY_ID = '"&amp;G5&amp;"', NEW_DEPARTMENT_ID = '"&amp;H5&amp;"', NEW_CLASS_ID = '"&amp;I5&amp;"', NEW_CUSTOMER_ID = '"&amp;J5&amp;"', NEW_PM_ID = '"&amp;K5&amp; "'"&amp;" WHERE LEGACY_JOB_ID = '"&amp;TRIM(B5)&amp;"' AND Data_Folder_Id = '"&amp;A5&amp;"'"</f>
        <v>UPDATE [MAP].[T_TRANS_JOB] SET NEW_JOB_ID = 'Test002', INCLUDE_JOB = 1, NEW_ENTITY_ID = 'PA', NEW_DEPARTMENT_ID = 'Commercial', NEW_CLASS_ID = 'CM', NEW_CUSTOMER_ID = 'C0056', NEW_PM_ID = '10024' WHERE LEGACY_JOB_ID = '16-599' AND Data_Folder_Id = 'schi'</v>
      </c>
      <c r="M5" t="str">
        <f t="shared" ref="M5:M7" si="1">IF(B5&lt;&gt;F5,"Changed","-")</f>
        <v>Changed</v>
      </c>
      <c r="N5" t="str">
        <f t="shared" ref="N5:N7" si="2">IF(B5="","Hide","-")</f>
        <v>-</v>
      </c>
    </row>
    <row r="6" spans="1:14" x14ac:dyDescent="0.25">
      <c r="A6" s="2" t="s">
        <v>4243</v>
      </c>
      <c r="B6" s="9" t="s">
        <v>4250</v>
      </c>
      <c r="D6" t="s">
        <v>3392</v>
      </c>
      <c r="E6" s="5" t="s">
        <v>3401</v>
      </c>
      <c r="F6" s="11" t="s">
        <v>4246</v>
      </c>
      <c r="G6" s="11" t="s">
        <v>27</v>
      </c>
      <c r="H6" s="11" t="s">
        <v>3394</v>
      </c>
      <c r="I6" s="11" t="s">
        <v>3397</v>
      </c>
      <c r="J6" s="11" t="s">
        <v>3177</v>
      </c>
      <c r="K6" s="11" t="s">
        <v>3398</v>
      </c>
      <c r="L6" t="str">
        <f t="shared" si="0"/>
        <v>UPDATE [MAP].[T_TRANS_JOB] SET NEW_JOB_ID = 'Test003', INCLUDE_JOB = 1, NEW_ENTITY_ID = 'PA', NEW_DEPARTMENT_ID = 'Commercial', NEW_CLASS_ID = 'GC', NEW_CUSTOMER_ID = 'C0022', NEW_PM_ID = '10046' WHERE LEGACY_JOB_ID = '17-005' AND Data_Folder_Id = 'schi'</v>
      </c>
      <c r="M6" t="str">
        <f t="shared" si="1"/>
        <v>Changed</v>
      </c>
      <c r="N6" t="str">
        <f t="shared" si="2"/>
        <v>-</v>
      </c>
    </row>
    <row r="7" spans="1:14" x14ac:dyDescent="0.25">
      <c r="A7" s="2" t="s">
        <v>4243</v>
      </c>
      <c r="B7" s="9" t="s">
        <v>4251</v>
      </c>
      <c r="D7" t="s">
        <v>3393</v>
      </c>
      <c r="E7" s="5" t="s">
        <v>3401</v>
      </c>
      <c r="F7" s="11" t="s">
        <v>4247</v>
      </c>
      <c r="G7" s="11" t="s">
        <v>27</v>
      </c>
      <c r="H7" s="11" t="s">
        <v>3394</v>
      </c>
      <c r="I7" s="11" t="s">
        <v>3395</v>
      </c>
      <c r="J7" s="11" t="s">
        <v>3190</v>
      </c>
      <c r="K7" s="11" t="s">
        <v>3399</v>
      </c>
      <c r="L7" t="str">
        <f t="shared" si="0"/>
        <v>UPDATE [MAP].[T_TRANS_JOB] SET NEW_JOB_ID = 'Test004', INCLUDE_JOB = 1, NEW_ENTITY_ID = 'PA', NEW_DEPARTMENT_ID = 'Commercial', NEW_CLASS_ID = 'CM', NEW_CUSTOMER_ID = 'C0035', NEW_PM_ID = '10015' WHERE LEGACY_JOB_ID = '17-101' AND Data_Folder_Id = 'schi'</v>
      </c>
      <c r="M7" t="str">
        <f t="shared" si="1"/>
        <v>Changed</v>
      </c>
      <c r="N7" t="str">
        <f t="shared" si="2"/>
        <v>-</v>
      </c>
    </row>
  </sheetData>
  <mergeCells count="2">
    <mergeCell ref="E1:K1"/>
    <mergeCell ref="A1:D1"/>
  </mergeCells>
  <dataValidations count="1">
    <dataValidation type="list" allowBlank="1" showInputMessage="1" showErrorMessage="1" sqref="E4:E7" xr:uid="{AC262301-ABE9-49D7-B38B-7FDBB7C44FFD}">
      <formula1>"Yes,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5AA91-F428-49CF-B26D-651254A0CAD7}">
  <dimension ref="A1:G5"/>
  <sheetViews>
    <sheetView zoomScale="130" zoomScaleNormal="13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.7109375" style="2" bestFit="1" customWidth="1"/>
    <col min="2" max="2" width="12.42578125" style="2" bestFit="1" customWidth="1"/>
    <col min="3" max="3" width="25.28515625" customWidth="1"/>
    <col min="4" max="4" width="24.85546875" style="5" bestFit="1" customWidth="1"/>
    <col min="5" max="5" width="33.5703125" customWidth="1"/>
    <col min="6" max="6" width="8.28515625" bestFit="1" customWidth="1"/>
    <col min="7" max="7" width="10" customWidth="1"/>
  </cols>
  <sheetData>
    <row r="1" spans="1:7" x14ac:dyDescent="0.25">
      <c r="A1" s="20" t="str">
        <f>"Legacy ERP: "&amp;Controls!$B$2</f>
        <v>Legacy ERP: Sage 300 CRE</v>
      </c>
      <c r="B1" s="20"/>
      <c r="C1" s="20"/>
      <c r="D1" s="3" t="str">
        <f>"New ERP: "&amp;Controls!$B$3</f>
        <v>New ERP: Sage Intacct</v>
      </c>
    </row>
    <row r="2" spans="1:7" ht="4.9000000000000004" customHeight="1" x14ac:dyDescent="0.25">
      <c r="D2" s="2"/>
    </row>
    <row r="3" spans="1:7" x14ac:dyDescent="0.25">
      <c r="A3" s="8" t="s">
        <v>7</v>
      </c>
      <c r="B3" s="8" t="s">
        <v>13</v>
      </c>
      <c r="C3" s="8" t="s">
        <v>4233</v>
      </c>
      <c r="D3" s="8" t="s">
        <v>13</v>
      </c>
      <c r="E3" s="15" t="s">
        <v>0</v>
      </c>
      <c r="F3" s="16" t="s">
        <v>12</v>
      </c>
      <c r="G3" s="16" t="s">
        <v>2</v>
      </c>
    </row>
    <row r="4" spans="1:7" x14ac:dyDescent="0.25">
      <c r="A4" s="2" t="s">
        <v>1</v>
      </c>
      <c r="B4" s="4" t="s">
        <v>3</v>
      </c>
      <c r="C4" t="s">
        <v>4</v>
      </c>
      <c r="D4" s="5" t="s">
        <v>3</v>
      </c>
      <c r="E4" t="str">
        <f>"UPDATE "&amp;$E$3&amp;" SET New_Base_Account = '"&amp;D4&amp;"' WHERE Legacy_Base_Account = '"&amp;B4&amp;"' AND Data_Folder_Id = '"&amp;$A4&amp;"'"</f>
        <v>UPDATE [MAP].[T_TRANS_BASEACCT] SET New_Base_Account = '1000' WHERE Legacy_Base_Account = '1000' AND Data_Folder_Id = 'sampl'</v>
      </c>
      <c r="F4" t="str">
        <f>IF(B4&lt;&gt;D4,"Changed","-")</f>
        <v>-</v>
      </c>
      <c r="G4" t="str">
        <f>IF(B4="","Hide","-")</f>
        <v>-</v>
      </c>
    </row>
    <row r="5" spans="1:7" x14ac:dyDescent="0.25">
      <c r="A5" s="2" t="s">
        <v>1</v>
      </c>
      <c r="B5" s="4" t="s">
        <v>5</v>
      </c>
      <c r="C5" t="s">
        <v>6</v>
      </c>
      <c r="D5" s="5" t="s">
        <v>5</v>
      </c>
      <c r="E5" t="str">
        <f>"UPDATE "&amp;$E$3&amp;" SET New_Base_Account = '"&amp;D5&amp;"' WHERE Legacy_Base_Account = '"&amp;B5&amp;"' AND Data_Folder_Id = '"&amp;$A5&amp;"'"</f>
        <v>UPDATE [MAP].[T_TRANS_BASEACCT] SET New_Base_Account = '1005' WHERE Legacy_Base_Account = '1005' AND Data_Folder_Id = 'sampl'</v>
      </c>
      <c r="F5" t="str">
        <f t="shared" ref="F5" si="0">IF(B5&lt;&gt;D5,"Changed","-")</f>
        <v>-</v>
      </c>
      <c r="G5" t="str">
        <f t="shared" ref="G5" si="1">IF(B5="","Hide","-")</f>
        <v>-</v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9C588-5673-468A-A3FF-A68D5418129C}">
  <dimension ref="A1:G10"/>
  <sheetViews>
    <sheetView zoomScale="130" zoomScaleNormal="13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.7109375" style="2" bestFit="1" customWidth="1"/>
    <col min="2" max="2" width="12.42578125" style="6" bestFit="1" customWidth="1"/>
    <col min="3" max="3" width="25.28515625" customWidth="1"/>
    <col min="4" max="4" width="24.85546875" style="5" bestFit="1" customWidth="1"/>
    <col min="5" max="5" width="33.5703125" customWidth="1"/>
    <col min="6" max="6" width="8.28515625" bestFit="1" customWidth="1"/>
    <col min="7" max="7" width="10" customWidth="1"/>
  </cols>
  <sheetData>
    <row r="1" spans="1:7" x14ac:dyDescent="0.25">
      <c r="A1" s="20" t="str">
        <f>"Legacy ERP: "&amp;Controls!$B$2</f>
        <v>Legacy ERP: Sage 300 CRE</v>
      </c>
      <c r="B1" s="20"/>
      <c r="C1" s="20"/>
      <c r="D1" s="3" t="str">
        <f>"New ERP: "&amp;Controls!$B$3</f>
        <v>New ERP: Sage Intacct</v>
      </c>
    </row>
    <row r="2" spans="1:7" ht="4.9000000000000004" customHeight="1" x14ac:dyDescent="0.25">
      <c r="D2" s="2"/>
    </row>
    <row r="3" spans="1:7" x14ac:dyDescent="0.25">
      <c r="A3" s="8" t="s">
        <v>7</v>
      </c>
      <c r="B3" s="8" t="s">
        <v>14</v>
      </c>
      <c r="C3" s="8" t="s">
        <v>15</v>
      </c>
      <c r="D3" s="8" t="s">
        <v>14</v>
      </c>
      <c r="E3" s="15" t="s">
        <v>36</v>
      </c>
      <c r="F3" s="16" t="s">
        <v>12</v>
      </c>
      <c r="G3" s="16" t="s">
        <v>2</v>
      </c>
    </row>
    <row r="4" spans="1:7" x14ac:dyDescent="0.25">
      <c r="A4" s="2" t="s">
        <v>1</v>
      </c>
      <c r="B4" s="7" t="s">
        <v>16</v>
      </c>
      <c r="C4" t="s">
        <v>29</v>
      </c>
      <c r="D4" s="5" t="s">
        <v>23</v>
      </c>
      <c r="E4" t="str">
        <f>"UPDATE "&amp;$E$3&amp;" SET New_Location_Id = '"&amp;D4&amp;"' WHERE Legacy_Location_Id = '"&amp;B4&amp;"' AND Data_Folder_Id = '"&amp;$A4&amp;"'"</f>
        <v>UPDATE [MAP].[T_TRANS_LOCATION] SET New_Location_Id = 'E010' WHERE Legacy_Location_Id = '1-00' AND Data_Folder_Id = 'sampl'</v>
      </c>
      <c r="F4" t="str">
        <f>IF(B4&lt;&gt;D4,"Changed","-")</f>
        <v>Changed</v>
      </c>
      <c r="G4" t="str">
        <f>IF(B4="","Hide","-")</f>
        <v>-</v>
      </c>
    </row>
    <row r="5" spans="1:7" x14ac:dyDescent="0.25">
      <c r="A5" s="2" t="s">
        <v>1</v>
      </c>
      <c r="B5" s="7" t="s">
        <v>17</v>
      </c>
      <c r="C5" t="s">
        <v>30</v>
      </c>
      <c r="D5" s="5" t="s">
        <v>24</v>
      </c>
      <c r="E5" t="str">
        <f t="shared" ref="E5:E10" si="0">"UPDATE "&amp;$E$3&amp;" SET New_Location_Id = '"&amp;D5&amp;"' WHERE Legacy_Location_Id = '"&amp;B5&amp;"' AND Data_Folder_Id = '"&amp;$A5&amp;"'"</f>
        <v>UPDATE [MAP].[T_TRANS_LOCATION] SET New_Location_Id = 'CO' WHERE Legacy_Location_Id = '1-88' AND Data_Folder_Id = 'sampl'</v>
      </c>
      <c r="F5" t="str">
        <f t="shared" ref="F5:F10" si="1">IF(B5&lt;&gt;D5,"Changed","-")</f>
        <v>Changed</v>
      </c>
      <c r="G5" t="str">
        <f t="shared" ref="G5:G10" si="2">IF(B5="","Hide","-")</f>
        <v>-</v>
      </c>
    </row>
    <row r="6" spans="1:7" x14ac:dyDescent="0.25">
      <c r="A6" s="2" t="s">
        <v>1</v>
      </c>
      <c r="B6" s="6" t="s">
        <v>18</v>
      </c>
      <c r="C6" t="s">
        <v>31</v>
      </c>
      <c r="D6" s="5" t="s">
        <v>25</v>
      </c>
      <c r="E6" t="str">
        <f t="shared" si="0"/>
        <v>UPDATE [MAP].[T_TRANS_LOCATION] SET New_Location_Id = 'NJ' WHERE Legacy_Location_Id = '1-20' AND Data_Folder_Id = 'sampl'</v>
      </c>
      <c r="F6" t="str">
        <f t="shared" si="1"/>
        <v>Changed</v>
      </c>
      <c r="G6" t="str">
        <f t="shared" si="2"/>
        <v>-</v>
      </c>
    </row>
    <row r="7" spans="1:7" x14ac:dyDescent="0.25">
      <c r="A7" s="2" t="s">
        <v>1</v>
      </c>
      <c r="B7" s="6" t="s">
        <v>19</v>
      </c>
      <c r="C7" t="s">
        <v>32</v>
      </c>
      <c r="D7" s="5" t="s">
        <v>26</v>
      </c>
      <c r="E7" t="str">
        <f t="shared" si="0"/>
        <v>UPDATE [MAP].[T_TRANS_LOCATION] SET New_Location_Id = 'OT' WHERE Legacy_Location_Id = '1-25' AND Data_Folder_Id = 'sampl'</v>
      </c>
      <c r="F7" t="str">
        <f t="shared" si="1"/>
        <v>Changed</v>
      </c>
      <c r="G7" t="str">
        <f t="shared" si="2"/>
        <v>-</v>
      </c>
    </row>
    <row r="8" spans="1:7" x14ac:dyDescent="0.25">
      <c r="A8" s="2" t="s">
        <v>1</v>
      </c>
      <c r="B8" s="6" t="s">
        <v>20</v>
      </c>
      <c r="C8" t="s">
        <v>33</v>
      </c>
      <c r="D8" s="5" t="s">
        <v>27</v>
      </c>
      <c r="E8" t="str">
        <f t="shared" si="0"/>
        <v>UPDATE [MAP].[T_TRANS_LOCATION] SET New_Location_Id = 'PA' WHERE Legacy_Location_Id = '1-10' AND Data_Folder_Id = 'sampl'</v>
      </c>
      <c r="F8" t="str">
        <f t="shared" si="1"/>
        <v>Changed</v>
      </c>
      <c r="G8" t="str">
        <f t="shared" si="2"/>
        <v>-</v>
      </c>
    </row>
    <row r="9" spans="1:7" x14ac:dyDescent="0.25">
      <c r="A9" s="2" t="s">
        <v>1</v>
      </c>
      <c r="B9" s="6" t="s">
        <v>21</v>
      </c>
      <c r="C9" t="s">
        <v>34</v>
      </c>
      <c r="D9" s="5" t="s">
        <v>28</v>
      </c>
      <c r="E9" t="str">
        <f t="shared" si="0"/>
        <v>UPDATE [MAP].[T_TRANS_LOCATION] SET New_Location_Id = 'WV' WHERE Legacy_Location_Id = '1-15' AND Data_Folder_Id = 'sampl'</v>
      </c>
      <c r="F9" t="str">
        <f t="shared" si="1"/>
        <v>Changed</v>
      </c>
      <c r="G9" t="str">
        <f t="shared" si="2"/>
        <v>-</v>
      </c>
    </row>
    <row r="10" spans="1:7" x14ac:dyDescent="0.25">
      <c r="A10" s="2" t="s">
        <v>1</v>
      </c>
      <c r="B10" s="6" t="s">
        <v>22</v>
      </c>
      <c r="C10" t="s">
        <v>35</v>
      </c>
      <c r="E10" t="str">
        <f t="shared" si="0"/>
        <v>UPDATE [MAP].[T_TRANS_LOCATION] SET New_Location_Id = '' WHERE Legacy_Location_Id = '1-99' AND Data_Folder_Id = 'sampl'</v>
      </c>
      <c r="F10" t="str">
        <f t="shared" si="1"/>
        <v>Changed</v>
      </c>
      <c r="G10" t="str">
        <f t="shared" si="2"/>
        <v>-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2ABD-E8D4-4593-A7E3-D3837171E064}">
  <dimension ref="A1:G7"/>
  <sheetViews>
    <sheetView zoomScale="130" zoomScaleNormal="13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.7109375" style="2" bestFit="1" customWidth="1"/>
    <col min="2" max="2" width="12.42578125" style="6" bestFit="1" customWidth="1"/>
    <col min="3" max="3" width="25.28515625" customWidth="1"/>
    <col min="4" max="4" width="24.85546875" style="5" bestFit="1" customWidth="1"/>
    <col min="5" max="5" width="33.5703125" customWidth="1"/>
    <col min="6" max="6" width="8.28515625" bestFit="1" customWidth="1"/>
    <col min="7" max="7" width="10" customWidth="1"/>
  </cols>
  <sheetData>
    <row r="1" spans="1:7" x14ac:dyDescent="0.25">
      <c r="A1" s="20" t="str">
        <f>"Legacy ERP: "&amp;Controls!$B$2</f>
        <v>Legacy ERP: Sage 300 CRE</v>
      </c>
      <c r="B1" s="20"/>
      <c r="C1" s="20"/>
      <c r="D1" s="3" t="str">
        <f>"New ERP: "&amp;Controls!$B$3</f>
        <v>New ERP: Sage Intacct</v>
      </c>
    </row>
    <row r="2" spans="1:7" ht="4.9000000000000004" customHeight="1" x14ac:dyDescent="0.25">
      <c r="D2" s="2"/>
    </row>
    <row r="3" spans="1:7" x14ac:dyDescent="0.25">
      <c r="A3" s="8" t="s">
        <v>7</v>
      </c>
      <c r="B3" s="8" t="s">
        <v>37</v>
      </c>
      <c r="C3" s="8" t="s">
        <v>4234</v>
      </c>
      <c r="D3" s="8" t="s">
        <v>37</v>
      </c>
      <c r="E3" s="15" t="s">
        <v>38</v>
      </c>
      <c r="F3" s="16" t="s">
        <v>12</v>
      </c>
      <c r="G3" s="16" t="s">
        <v>2</v>
      </c>
    </row>
    <row r="4" spans="1:7" x14ac:dyDescent="0.25">
      <c r="A4" s="2" t="s">
        <v>1</v>
      </c>
      <c r="B4" s="7"/>
      <c r="D4" s="5" t="s">
        <v>23</v>
      </c>
      <c r="E4" t="str">
        <f>"UPDATE "&amp;$E$3&amp;" SET New_Department_Id = '"&amp;D4&amp;"' WHERE Legacy_Department_Id = '"&amp;B4&amp;"' AND Data_Folder_Id = '"&amp;$A4&amp;"'"</f>
        <v>UPDATE [MAP].[T_TRANS_DEPARTMENT] SET New_Department_Id = 'E010' WHERE Legacy_Department_Id = '' AND Data_Folder_Id = 'sampl'</v>
      </c>
      <c r="F4" t="str">
        <f>IF(B4&lt;&gt;D4,"Changed","-")</f>
        <v>Changed</v>
      </c>
      <c r="G4" t="str">
        <f>IF(B4="","Hide","-")</f>
        <v>Hide</v>
      </c>
    </row>
    <row r="5" spans="1:7" x14ac:dyDescent="0.25">
      <c r="A5" s="2" t="s">
        <v>1</v>
      </c>
      <c r="B5" s="7"/>
      <c r="D5" s="5" t="s">
        <v>24</v>
      </c>
      <c r="E5" t="str">
        <f t="shared" ref="E5:E7" si="0">"UPDATE "&amp;$E$3&amp;" SET New_Department_Id = '"&amp;D5&amp;"' WHERE Legacy_Department_Id = '"&amp;B5&amp;"' AND Data_Folder_Id = '"&amp;$A5&amp;"'"</f>
        <v>UPDATE [MAP].[T_TRANS_DEPARTMENT] SET New_Department_Id = 'CO' WHERE Legacy_Department_Id = '' AND Data_Folder_Id = 'sampl'</v>
      </c>
      <c r="F5" t="str">
        <f t="shared" ref="F5:F7" si="1">IF(A5&lt;&gt;B5,"Changed","-")</f>
        <v>Changed</v>
      </c>
      <c r="G5" t="str">
        <f t="shared" ref="G5:G7" si="2">IF(B5="","Hide","-")</f>
        <v>Hide</v>
      </c>
    </row>
    <row r="6" spans="1:7" x14ac:dyDescent="0.25">
      <c r="A6" s="2" t="s">
        <v>1</v>
      </c>
      <c r="D6" s="5" t="s">
        <v>25</v>
      </c>
      <c r="E6" t="str">
        <f t="shared" si="0"/>
        <v>UPDATE [MAP].[T_TRANS_DEPARTMENT] SET New_Department_Id = 'NJ' WHERE Legacy_Department_Id = '' AND Data_Folder_Id = 'sampl'</v>
      </c>
      <c r="F6" t="str">
        <f t="shared" si="1"/>
        <v>Changed</v>
      </c>
      <c r="G6" t="str">
        <f t="shared" si="2"/>
        <v>Hide</v>
      </c>
    </row>
    <row r="7" spans="1:7" x14ac:dyDescent="0.25">
      <c r="A7" s="2" t="s">
        <v>1</v>
      </c>
      <c r="D7" s="5" t="s">
        <v>26</v>
      </c>
      <c r="E7" t="str">
        <f t="shared" si="0"/>
        <v>UPDATE [MAP].[T_TRANS_DEPARTMENT] SET New_Department_Id = 'OT' WHERE Legacy_Department_Id = '' AND Data_Folder_Id = 'sampl'</v>
      </c>
      <c r="F7" t="str">
        <f t="shared" si="1"/>
        <v>Changed</v>
      </c>
      <c r="G7" t="str">
        <f t="shared" si="2"/>
        <v>Hide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7AF3-8464-45F1-8B63-D1BD796DEF0A}">
  <dimension ref="A1:G5"/>
  <sheetViews>
    <sheetView zoomScale="130" zoomScaleNormal="13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.7109375" style="2" bestFit="1" customWidth="1"/>
    <col min="2" max="2" width="12.42578125" style="9" bestFit="1" customWidth="1"/>
    <col min="3" max="3" width="25.28515625" customWidth="1"/>
    <col min="4" max="4" width="24.85546875" style="5" bestFit="1" customWidth="1"/>
    <col min="5" max="5" width="33.5703125" customWidth="1"/>
    <col min="6" max="6" width="8.28515625" bestFit="1" customWidth="1"/>
    <col min="7" max="7" width="10" customWidth="1"/>
  </cols>
  <sheetData>
    <row r="1" spans="1:7" x14ac:dyDescent="0.25">
      <c r="A1" s="20" t="str">
        <f>"Legacy ERP: "&amp;Controls!$B$2</f>
        <v>Legacy ERP: Sage 300 CRE</v>
      </c>
      <c r="B1" s="20"/>
      <c r="C1" s="20"/>
      <c r="D1" s="3" t="str">
        <f>"New ERP: "&amp;Controls!$B$3</f>
        <v>New ERP: Sage Intacct</v>
      </c>
    </row>
    <row r="2" spans="1:7" ht="4.9000000000000004" customHeight="1" x14ac:dyDescent="0.25">
      <c r="D2" s="2"/>
    </row>
    <row r="3" spans="1:7" x14ac:dyDescent="0.25">
      <c r="A3" s="8" t="s">
        <v>7</v>
      </c>
      <c r="B3" s="8" t="s">
        <v>3043</v>
      </c>
      <c r="C3" s="8" t="s">
        <v>4235</v>
      </c>
      <c r="D3" s="8" t="s">
        <v>3043</v>
      </c>
      <c r="E3" s="15" t="s">
        <v>3044</v>
      </c>
      <c r="F3" s="16" t="s">
        <v>12</v>
      </c>
      <c r="G3" s="16" t="s">
        <v>2</v>
      </c>
    </row>
    <row r="4" spans="1:7" x14ac:dyDescent="0.25">
      <c r="A4" s="2" t="s">
        <v>1</v>
      </c>
      <c r="B4" s="10" t="s">
        <v>41</v>
      </c>
      <c r="C4" t="s">
        <v>1043</v>
      </c>
      <c r="D4" s="5" t="s">
        <v>2041</v>
      </c>
      <c r="E4" t="str">
        <f>"UPDATE "&amp;$E$3&amp;" SET NEW_CLASS_ID = '"&amp;D4&amp;"' WHERE LEGACY_CLASS_ID = '"&amp;B4&amp;"' AND DATA_FOLDER_ID = '"&amp;$A4&amp;"'"</f>
        <v>UPDATE [MAP].[T_TRANS_CLASS] SET NEW_CLASS_ID = 'V0002' WHERE LEGACY_CLASS_ID = '330MONTAGE' AND DATA_FOLDER_ID = 'sampl'</v>
      </c>
      <c r="F4" t="str">
        <f>IF(B4&lt;&gt;D4,"Changed","-")</f>
        <v>Changed</v>
      </c>
      <c r="G4" t="str">
        <f>IF(B4="","Hide","-")</f>
        <v>-</v>
      </c>
    </row>
    <row r="5" spans="1:7" x14ac:dyDescent="0.25">
      <c r="A5" s="2" t="s">
        <v>1</v>
      </c>
      <c r="B5" s="10" t="s">
        <v>42</v>
      </c>
      <c r="C5" t="s">
        <v>1044</v>
      </c>
      <c r="D5" s="5" t="s">
        <v>2042</v>
      </c>
      <c r="E5" t="str">
        <f>"UPDATE "&amp;$E$3&amp;" SET NEW_CLASS_ID = '"&amp;D5&amp;"' WHERE LEGACY_CLASS_ID = '"&amp;B5&amp;"' AND DATA_FOLDER_ID = '"&amp;$A5&amp;"'"</f>
        <v>UPDATE [MAP].[T_TRANS_CLASS] SET NEW_CLASS_ID = 'V0003' WHERE LEGACY_CLASS_ID = '84LUMBER' AND DATA_FOLDER_ID = 'sampl'</v>
      </c>
      <c r="F5" t="str">
        <f t="shared" ref="F5" si="0">IF(B5&lt;&gt;D5,"Changed","-")</f>
        <v>Changed</v>
      </c>
      <c r="G5" t="str">
        <f t="shared" ref="G5" si="1">IF(B5="","Hide","-")</f>
        <v>-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B20DB-2C47-4E16-BE18-4887A294E621}">
  <dimension ref="A1:G1005"/>
  <sheetViews>
    <sheetView zoomScale="130" zoomScaleNormal="13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.7109375" style="2" bestFit="1" customWidth="1"/>
    <col min="2" max="2" width="12.42578125" style="9" bestFit="1" customWidth="1"/>
    <col min="3" max="3" width="25.28515625" customWidth="1"/>
    <col min="4" max="4" width="24.85546875" style="5" bestFit="1" customWidth="1"/>
    <col min="5" max="5" width="33.5703125" customWidth="1"/>
    <col min="6" max="6" width="8.28515625" bestFit="1" customWidth="1"/>
    <col min="7" max="7" width="10" customWidth="1"/>
  </cols>
  <sheetData>
    <row r="1" spans="1:7" x14ac:dyDescent="0.25">
      <c r="A1" s="20" t="str">
        <f>"Legacy ERP: "&amp;Controls!$B$2</f>
        <v>Legacy ERP: Sage 300 CRE</v>
      </c>
      <c r="B1" s="20"/>
      <c r="C1" s="20"/>
      <c r="D1" s="3" t="str">
        <f>"New ERP: "&amp;Controls!$B$3</f>
        <v>New ERP: Sage Intacct</v>
      </c>
    </row>
    <row r="2" spans="1:7" ht="4.9000000000000004" customHeight="1" x14ac:dyDescent="0.25">
      <c r="D2" s="2"/>
    </row>
    <row r="3" spans="1:7" x14ac:dyDescent="0.25">
      <c r="A3" s="8" t="s">
        <v>7</v>
      </c>
      <c r="B3" s="8" t="s">
        <v>39</v>
      </c>
      <c r="C3" s="8" t="s">
        <v>4236</v>
      </c>
      <c r="D3" s="8" t="s">
        <v>39</v>
      </c>
      <c r="E3" s="15" t="s">
        <v>40</v>
      </c>
      <c r="F3" s="16" t="s">
        <v>12</v>
      </c>
      <c r="G3" s="16" t="s">
        <v>2</v>
      </c>
    </row>
    <row r="4" spans="1:7" x14ac:dyDescent="0.25">
      <c r="A4" s="2" t="s">
        <v>1</v>
      </c>
      <c r="B4" s="10" t="s">
        <v>41</v>
      </c>
      <c r="C4" t="s">
        <v>1043</v>
      </c>
      <c r="D4" s="5" t="s">
        <v>2041</v>
      </c>
      <c r="E4" t="str">
        <f>"UPDATE "&amp;$E$3&amp;" SET NEW_VENDOR_ID = '"&amp;D4&amp;"' WHERE LEGACY_VENDOR_ID = '"&amp;B4&amp;"' AND DATA_FOLDER_ID = '"&amp;$A4&amp;"'"</f>
        <v>UPDATE [MAP].[T_TRANS_VENDOR] SET NEW_VENDOR_ID = 'V0002' WHERE LEGACY_VENDOR_ID = '330MONTAGE' AND DATA_FOLDER_ID = 'sampl'</v>
      </c>
      <c r="F4" t="str">
        <f>IF(B4&lt;&gt;D4,"Changed","-")</f>
        <v>Changed</v>
      </c>
      <c r="G4" t="str">
        <f>IF(B4="","Hide","-")</f>
        <v>-</v>
      </c>
    </row>
    <row r="5" spans="1:7" x14ac:dyDescent="0.25">
      <c r="A5" s="2" t="s">
        <v>1</v>
      </c>
      <c r="B5" s="10" t="s">
        <v>42</v>
      </c>
      <c r="C5" t="s">
        <v>1044</v>
      </c>
      <c r="D5" s="5" t="s">
        <v>2042</v>
      </c>
      <c r="E5" t="str">
        <f t="shared" ref="E5:E14" si="0">"UPDATE "&amp;$E$3&amp;" SET NEW_VENDOR_ID = '"&amp;D5&amp;"' WHERE LEGACY_VENDOR_ID = '"&amp;B5&amp;"' AND DATA_FOLDER_ID = '"&amp;$A5&amp;"'"</f>
        <v>UPDATE [MAP].[T_TRANS_VENDOR] SET NEW_VENDOR_ID = 'V0003' WHERE LEGACY_VENDOR_ID = '84LUMBER' AND DATA_FOLDER_ID = 'sampl'</v>
      </c>
      <c r="F5" t="str">
        <f t="shared" ref="F5:F14" si="1">IF(B5&lt;&gt;D5,"Changed","-")</f>
        <v>Changed</v>
      </c>
      <c r="G5" t="str">
        <f t="shared" ref="G5:G14" si="2">IF(B5="","Hide","-")</f>
        <v>-</v>
      </c>
    </row>
    <row r="6" spans="1:7" x14ac:dyDescent="0.25">
      <c r="A6" s="2" t="s">
        <v>1</v>
      </c>
      <c r="B6" s="9" t="s">
        <v>43</v>
      </c>
      <c r="C6" t="s">
        <v>1045</v>
      </c>
      <c r="D6" s="5" t="s">
        <v>2043</v>
      </c>
      <c r="E6" t="str">
        <f t="shared" si="0"/>
        <v>UPDATE [MAP].[T_TRANS_VENDOR] SET NEW_VENDOR_ID = 'V0004' WHERE LEGACY_VENDOR_ID = 'A&amp;AAUTOP' AND DATA_FOLDER_ID = 'sampl'</v>
      </c>
      <c r="F6" t="str">
        <f t="shared" si="1"/>
        <v>Changed</v>
      </c>
      <c r="G6" t="str">
        <f t="shared" si="2"/>
        <v>-</v>
      </c>
    </row>
    <row r="7" spans="1:7" x14ac:dyDescent="0.25">
      <c r="A7" s="2" t="s">
        <v>1</v>
      </c>
      <c r="B7" s="9" t="s">
        <v>44</v>
      </c>
      <c r="C7" t="s">
        <v>1046</v>
      </c>
      <c r="D7" s="5" t="s">
        <v>2044</v>
      </c>
      <c r="E7" t="str">
        <f t="shared" si="0"/>
        <v>UPDATE [MAP].[T_TRANS_VENDOR] SET NEW_VENDOR_ID = 'V0005' WHERE LEGACY_VENDOR_ID = 'A&amp;BDOORI' AND DATA_FOLDER_ID = 'sampl'</v>
      </c>
      <c r="F7" t="str">
        <f t="shared" si="1"/>
        <v>Changed</v>
      </c>
      <c r="G7" t="str">
        <f t="shared" si="2"/>
        <v>-</v>
      </c>
    </row>
    <row r="8" spans="1:7" x14ac:dyDescent="0.25">
      <c r="A8" s="2" t="s">
        <v>1</v>
      </c>
      <c r="B8" s="9" t="s">
        <v>45</v>
      </c>
      <c r="C8" t="s">
        <v>1047</v>
      </c>
      <c r="D8" s="5" t="s">
        <v>2045</v>
      </c>
      <c r="E8" t="str">
        <f t="shared" si="0"/>
        <v>UPDATE [MAP].[T_TRANS_VENDOR] SET NEW_VENDOR_ID = 'V0006' WHERE LEGACY_VENDOR_ID = 'ABBINC' AND DATA_FOLDER_ID = 'sampl'</v>
      </c>
      <c r="F8" t="str">
        <f t="shared" si="1"/>
        <v>Changed</v>
      </c>
      <c r="G8" t="str">
        <f t="shared" si="2"/>
        <v>-</v>
      </c>
    </row>
    <row r="9" spans="1:7" x14ac:dyDescent="0.25">
      <c r="A9" s="2" t="s">
        <v>1</v>
      </c>
      <c r="B9" s="9" t="s">
        <v>46</v>
      </c>
      <c r="C9" t="s">
        <v>1048</v>
      </c>
      <c r="D9" s="5" t="s">
        <v>2046</v>
      </c>
      <c r="E9" t="str">
        <f t="shared" si="0"/>
        <v>UPDATE [MAP].[T_TRANS_VENDOR] SET NEW_VENDOR_ID = 'V0007' WHERE LEGACY_VENDOR_ID = 'ABCSUPPL' AND DATA_FOLDER_ID = 'sampl'</v>
      </c>
      <c r="F9" t="str">
        <f t="shared" si="1"/>
        <v>Changed</v>
      </c>
      <c r="G9" t="str">
        <f t="shared" si="2"/>
        <v>-</v>
      </c>
    </row>
    <row r="10" spans="1:7" x14ac:dyDescent="0.25">
      <c r="A10" s="2" t="s">
        <v>1</v>
      </c>
      <c r="B10" s="9" t="s">
        <v>47</v>
      </c>
      <c r="C10" t="s">
        <v>1049</v>
      </c>
      <c r="D10" s="5" t="s">
        <v>2047</v>
      </c>
      <c r="E10" t="str">
        <f t="shared" si="0"/>
        <v>UPDATE [MAP].[T_TRANS_VENDOR] SET NEW_VENDOR_ID = 'V0008' WHERE LEGACY_VENDOR_ID = 'ACCORDAN' AND DATA_FOLDER_ID = 'sampl'</v>
      </c>
      <c r="F10" t="str">
        <f t="shared" si="1"/>
        <v>Changed</v>
      </c>
      <c r="G10" t="str">
        <f t="shared" si="2"/>
        <v>-</v>
      </c>
    </row>
    <row r="11" spans="1:7" x14ac:dyDescent="0.25">
      <c r="A11" s="2" t="s">
        <v>1</v>
      </c>
      <c r="B11" s="9" t="s">
        <v>48</v>
      </c>
      <c r="C11" t="s">
        <v>1050</v>
      </c>
      <c r="D11" s="5" t="s">
        <v>2048</v>
      </c>
      <c r="E11" t="str">
        <f t="shared" si="0"/>
        <v>UPDATE [MAP].[T_TRANS_VENDOR] SET NEW_VENDOR_ID = 'V0009' WHERE LEGACY_VENDOR_ID = 'acculock' AND DATA_FOLDER_ID = 'sampl'</v>
      </c>
      <c r="F11" t="str">
        <f t="shared" si="1"/>
        <v>Changed</v>
      </c>
      <c r="G11" t="str">
        <f t="shared" si="2"/>
        <v>-</v>
      </c>
    </row>
    <row r="12" spans="1:7" x14ac:dyDescent="0.25">
      <c r="A12" s="2" t="s">
        <v>1</v>
      </c>
      <c r="B12" s="9" t="s">
        <v>49</v>
      </c>
      <c r="C12" t="s">
        <v>1051</v>
      </c>
      <c r="D12" s="5" t="s">
        <v>2049</v>
      </c>
      <c r="E12" t="str">
        <f t="shared" si="0"/>
        <v>UPDATE [MAP].[T_TRANS_VENDOR] SET NEW_VENDOR_ID = 'V0010' WHERE LEGACY_VENDOR_ID = 'ACOUSTIC' AND DATA_FOLDER_ID = 'sampl'</v>
      </c>
      <c r="F12" t="str">
        <f t="shared" si="1"/>
        <v>Changed</v>
      </c>
      <c r="G12" t="str">
        <f t="shared" si="2"/>
        <v>-</v>
      </c>
    </row>
    <row r="13" spans="1:7" x14ac:dyDescent="0.25">
      <c r="A13" s="2" t="s">
        <v>1</v>
      </c>
      <c r="B13" s="9" t="s">
        <v>50</v>
      </c>
      <c r="C13" t="s">
        <v>1052</v>
      </c>
      <c r="D13" s="5" t="s">
        <v>2050</v>
      </c>
      <c r="E13" t="str">
        <f t="shared" si="0"/>
        <v>UPDATE [MAP].[T_TRANS_VENDOR] SET NEW_VENDOR_ID = 'V0011' WHERE LEGACY_VENDOR_ID = 'ACSI0000' AND DATA_FOLDER_ID = 'sampl'</v>
      </c>
      <c r="F13" t="str">
        <f t="shared" si="1"/>
        <v>Changed</v>
      </c>
      <c r="G13" t="str">
        <f t="shared" si="2"/>
        <v>-</v>
      </c>
    </row>
    <row r="14" spans="1:7" x14ac:dyDescent="0.25">
      <c r="A14" s="2" t="s">
        <v>1</v>
      </c>
      <c r="B14" s="9" t="s">
        <v>51</v>
      </c>
      <c r="C14" t="s">
        <v>1053</v>
      </c>
      <c r="D14" s="5" t="s">
        <v>2051</v>
      </c>
      <c r="E14" t="str">
        <f t="shared" si="0"/>
        <v>UPDATE [MAP].[T_TRANS_VENDOR] SET NEW_VENDOR_ID = 'V0012' WHERE LEGACY_VENDOR_ID = 'ACTADAMS' AND DATA_FOLDER_ID = 'sampl'</v>
      </c>
      <c r="F14" t="str">
        <f t="shared" si="1"/>
        <v>Changed</v>
      </c>
      <c r="G14" t="str">
        <f t="shared" si="2"/>
        <v>-</v>
      </c>
    </row>
    <row r="15" spans="1:7" x14ac:dyDescent="0.25">
      <c r="A15" s="2" t="s">
        <v>1</v>
      </c>
      <c r="B15" s="9" t="s">
        <v>52</v>
      </c>
      <c r="C15" t="s">
        <v>1054</v>
      </c>
      <c r="D15" s="5" t="s">
        <v>2052</v>
      </c>
      <c r="E15" t="str">
        <f t="shared" ref="E15:E78" si="3">"UPDATE "&amp;$E$3&amp;" SET NEW_VENDOR_ID = '"&amp;D15&amp;"' WHERE LEGACY_VENDOR_ID = '"&amp;B15&amp;"' AND DATA_FOLDER_ID = '"&amp;$A15&amp;"'"</f>
        <v>UPDATE [MAP].[T_TRANS_VENDOR] SET NEW_VENDOR_ID = 'V0013' WHERE LEGACY_VENDOR_ID = 'ACTIONLI' AND DATA_FOLDER_ID = 'sampl'</v>
      </c>
      <c r="F15" t="str">
        <f t="shared" ref="F15:F78" si="4">IF(B15&lt;&gt;D15,"Changed","-")</f>
        <v>Changed</v>
      </c>
      <c r="G15" t="str">
        <f t="shared" ref="G15:G78" si="5">IF(B15="","Hide","-")</f>
        <v>-</v>
      </c>
    </row>
    <row r="16" spans="1:7" x14ac:dyDescent="0.25">
      <c r="A16" s="2" t="s">
        <v>1</v>
      </c>
      <c r="B16" s="9" t="s">
        <v>53</v>
      </c>
      <c r="C16" t="s">
        <v>1055</v>
      </c>
      <c r="D16" s="5" t="s">
        <v>2053</v>
      </c>
      <c r="E16" t="str">
        <f t="shared" si="3"/>
        <v>UPDATE [MAP].[T_TRANS_VENDOR] SET NEW_VENDOR_ID = 'V0014' WHERE LEGACY_VENDOR_ID = 'ADAMSGLASS' AND DATA_FOLDER_ID = 'sampl'</v>
      </c>
      <c r="F16" t="str">
        <f t="shared" si="4"/>
        <v>Changed</v>
      </c>
      <c r="G16" t="str">
        <f t="shared" si="5"/>
        <v>-</v>
      </c>
    </row>
    <row r="17" spans="1:7" x14ac:dyDescent="0.25">
      <c r="A17" s="2" t="s">
        <v>1</v>
      </c>
      <c r="B17" s="9" t="s">
        <v>54</v>
      </c>
      <c r="C17" t="s">
        <v>1056</v>
      </c>
      <c r="D17" s="5" t="s">
        <v>2054</v>
      </c>
      <c r="E17" t="str">
        <f t="shared" si="3"/>
        <v>UPDATE [MAP].[T_TRANS_VENDOR] SET NEW_VENDOR_ID = 'V0015' WHERE LEGACY_VENDOR_ID = 'ADELPHIA' AND DATA_FOLDER_ID = 'sampl'</v>
      </c>
      <c r="F17" t="str">
        <f t="shared" si="4"/>
        <v>Changed</v>
      </c>
      <c r="G17" t="str">
        <f t="shared" si="5"/>
        <v>-</v>
      </c>
    </row>
    <row r="18" spans="1:7" x14ac:dyDescent="0.25">
      <c r="A18" s="2" t="s">
        <v>1</v>
      </c>
      <c r="B18" s="9" t="s">
        <v>55</v>
      </c>
      <c r="C18" t="s">
        <v>1057</v>
      </c>
      <c r="D18" s="5" t="s">
        <v>2055</v>
      </c>
      <c r="E18" t="str">
        <f t="shared" si="3"/>
        <v>UPDATE [MAP].[T_TRANS_VENDOR] SET NEW_VENDOR_ID = 'V0016' WHERE LEGACY_VENDOR_ID = 'ADMARSUP' AND DATA_FOLDER_ID = 'sampl'</v>
      </c>
      <c r="F18" t="str">
        <f t="shared" si="4"/>
        <v>Changed</v>
      </c>
      <c r="G18" t="str">
        <f t="shared" si="5"/>
        <v>-</v>
      </c>
    </row>
    <row r="19" spans="1:7" x14ac:dyDescent="0.25">
      <c r="A19" s="2" t="s">
        <v>1</v>
      </c>
      <c r="B19" s="9" t="s">
        <v>56</v>
      </c>
      <c r="C19" t="s">
        <v>1058</v>
      </c>
      <c r="D19" s="5" t="s">
        <v>2056</v>
      </c>
      <c r="E19" t="str">
        <f t="shared" si="3"/>
        <v>UPDATE [MAP].[T_TRANS_VENDOR] SET NEW_VENDOR_ID = 'V0017' WHERE LEGACY_VENDOR_ID = 'ADVCLENG' AND DATA_FOLDER_ID = 'sampl'</v>
      </c>
      <c r="F19" t="str">
        <f t="shared" si="4"/>
        <v>Changed</v>
      </c>
      <c r="G19" t="str">
        <f t="shared" si="5"/>
        <v>-</v>
      </c>
    </row>
    <row r="20" spans="1:7" x14ac:dyDescent="0.25">
      <c r="A20" s="2" t="s">
        <v>1</v>
      </c>
      <c r="B20" s="9" t="s">
        <v>57</v>
      </c>
      <c r="C20" t="s">
        <v>1059</v>
      </c>
      <c r="D20" s="5" t="s">
        <v>2057</v>
      </c>
      <c r="E20" t="str">
        <f t="shared" si="3"/>
        <v>UPDATE [MAP].[T_TRANS_VENDOR] SET NEW_VENDOR_ID = 'V0018' WHERE LEGACY_VENDOR_ID = 'ADVINDUS' AND DATA_FOLDER_ID = 'sampl'</v>
      </c>
      <c r="F20" t="str">
        <f t="shared" si="4"/>
        <v>Changed</v>
      </c>
      <c r="G20" t="str">
        <f t="shared" si="5"/>
        <v>-</v>
      </c>
    </row>
    <row r="21" spans="1:7" x14ac:dyDescent="0.25">
      <c r="A21" s="2" t="s">
        <v>1</v>
      </c>
      <c r="B21" s="9" t="s">
        <v>58</v>
      </c>
      <c r="C21" t="s">
        <v>1060</v>
      </c>
      <c r="D21" s="5" t="s">
        <v>2058</v>
      </c>
      <c r="E21" t="str">
        <f t="shared" si="3"/>
        <v>UPDATE [MAP].[T_TRANS_VENDOR] SET NEW_VENDOR_ID = 'V0019' WHERE LEGACY_VENDOR_ID = 'ADVNCCUT' AND DATA_FOLDER_ID = 'sampl'</v>
      </c>
      <c r="F21" t="str">
        <f t="shared" si="4"/>
        <v>Changed</v>
      </c>
      <c r="G21" t="str">
        <f t="shared" si="5"/>
        <v>-</v>
      </c>
    </row>
    <row r="22" spans="1:7" x14ac:dyDescent="0.25">
      <c r="A22" s="2" t="s">
        <v>1</v>
      </c>
      <c r="B22" s="9" t="s">
        <v>59</v>
      </c>
      <c r="C22" t="s">
        <v>1061</v>
      </c>
      <c r="D22" s="5" t="s">
        <v>2059</v>
      </c>
      <c r="E22" t="str">
        <f t="shared" si="3"/>
        <v>UPDATE [MAP].[T_TRANS_VENDOR] SET NEW_VENDOR_ID = 'V0020' WHERE LEGACY_VENDOR_ID = 'AESCLEAN' AND DATA_FOLDER_ID = 'sampl'</v>
      </c>
      <c r="F22" t="str">
        <f t="shared" si="4"/>
        <v>Changed</v>
      </c>
      <c r="G22" t="str">
        <f t="shared" si="5"/>
        <v>-</v>
      </c>
    </row>
    <row r="23" spans="1:7" x14ac:dyDescent="0.25">
      <c r="A23" s="2" t="s">
        <v>1</v>
      </c>
      <c r="B23" s="9" t="s">
        <v>60</v>
      </c>
      <c r="C23" t="s">
        <v>1062</v>
      </c>
      <c r="D23" s="5" t="s">
        <v>2060</v>
      </c>
      <c r="E23" t="str">
        <f t="shared" si="3"/>
        <v>UPDATE [MAP].[T_TRANS_VENDOR] SET NEW_VENDOR_ID = 'V0021' WHERE LEGACY_VENDOR_ID = 'AGILEPREM' AND DATA_FOLDER_ID = 'sampl'</v>
      </c>
      <c r="F23" t="str">
        <f t="shared" si="4"/>
        <v>Changed</v>
      </c>
      <c r="G23" t="str">
        <f t="shared" si="5"/>
        <v>-</v>
      </c>
    </row>
    <row r="24" spans="1:7" x14ac:dyDescent="0.25">
      <c r="A24" s="2" t="s">
        <v>1</v>
      </c>
      <c r="B24" s="9" t="s">
        <v>61</v>
      </c>
      <c r="C24" t="s">
        <v>1063</v>
      </c>
      <c r="D24" s="5" t="s">
        <v>2061</v>
      </c>
      <c r="E24" t="str">
        <f t="shared" si="3"/>
        <v>UPDATE [MAP].[T_TRANS_VENDOR] SET NEW_VENDOR_ID = 'V0022' WHERE LEGACY_VENDOR_ID = 'AIAALERA' AND DATA_FOLDER_ID = 'sampl'</v>
      </c>
      <c r="F24" t="str">
        <f t="shared" si="4"/>
        <v>Changed</v>
      </c>
      <c r="G24" t="str">
        <f t="shared" si="5"/>
        <v>-</v>
      </c>
    </row>
    <row r="25" spans="1:7" x14ac:dyDescent="0.25">
      <c r="A25" s="2" t="s">
        <v>1</v>
      </c>
      <c r="B25" s="9" t="s">
        <v>62</v>
      </c>
      <c r="C25" t="s">
        <v>1064</v>
      </c>
      <c r="D25" s="5" t="s">
        <v>2062</v>
      </c>
      <c r="E25" t="str">
        <f t="shared" si="3"/>
        <v>UPDATE [MAP].[T_TRANS_VENDOR] SET NEW_VENDOR_ID = 'V0023' WHERE LEGACY_VENDOR_ID = 'AIRBALAN' AND DATA_FOLDER_ID = 'sampl'</v>
      </c>
      <c r="F25" t="str">
        <f t="shared" si="4"/>
        <v>Changed</v>
      </c>
      <c r="G25" t="str">
        <f t="shared" si="5"/>
        <v>-</v>
      </c>
    </row>
    <row r="26" spans="1:7" x14ac:dyDescent="0.25">
      <c r="A26" s="2" t="s">
        <v>1</v>
      </c>
      <c r="B26" s="9" t="s">
        <v>63</v>
      </c>
      <c r="C26" t="s">
        <v>1065</v>
      </c>
      <c r="D26" s="5" t="s">
        <v>2063</v>
      </c>
      <c r="E26" t="str">
        <f t="shared" si="3"/>
        <v>UPDATE [MAP].[T_TRANS_VENDOR] SET NEW_VENDOR_ID = 'V0024' WHERE LEGACY_VENDOR_ID = 'AIRGAS' AND DATA_FOLDER_ID = 'sampl'</v>
      </c>
      <c r="F26" t="str">
        <f t="shared" si="4"/>
        <v>Changed</v>
      </c>
      <c r="G26" t="str">
        <f t="shared" si="5"/>
        <v>-</v>
      </c>
    </row>
    <row r="27" spans="1:7" x14ac:dyDescent="0.25">
      <c r="A27" s="2" t="s">
        <v>1</v>
      </c>
      <c r="B27" s="9" t="s">
        <v>64</v>
      </c>
      <c r="C27" t="s">
        <v>1066</v>
      </c>
      <c r="D27" s="5" t="s">
        <v>2064</v>
      </c>
      <c r="E27" t="str">
        <f t="shared" si="3"/>
        <v>UPDATE [MAP].[T_TRANS_VENDOR] SET NEW_VENDOR_ID = 'V0025' WHERE LEGACY_VENDOR_ID = 'AIRLINELO' AND DATA_FOLDER_ID = 'sampl'</v>
      </c>
      <c r="F27" t="str">
        <f t="shared" si="4"/>
        <v>Changed</v>
      </c>
      <c r="G27" t="str">
        <f t="shared" si="5"/>
        <v>-</v>
      </c>
    </row>
    <row r="28" spans="1:7" x14ac:dyDescent="0.25">
      <c r="A28" s="2" t="s">
        <v>1</v>
      </c>
      <c r="B28" s="9" t="s">
        <v>65</v>
      </c>
      <c r="C28" t="s">
        <v>1067</v>
      </c>
      <c r="D28" s="5" t="s">
        <v>2065</v>
      </c>
      <c r="E28" t="str">
        <f t="shared" si="3"/>
        <v>UPDATE [MAP].[T_TRANS_VENDOR] SET NEW_VENDOR_ID = 'V0026' WHERE LEGACY_VENDOR_ID = 'AIRPORTS' AND DATA_FOLDER_ID = 'sampl'</v>
      </c>
      <c r="F28" t="str">
        <f t="shared" si="4"/>
        <v>Changed</v>
      </c>
      <c r="G28" t="str">
        <f t="shared" si="5"/>
        <v>-</v>
      </c>
    </row>
    <row r="29" spans="1:7" x14ac:dyDescent="0.25">
      <c r="A29" s="2" t="s">
        <v>1</v>
      </c>
      <c r="B29" s="9" t="s">
        <v>66</v>
      </c>
      <c r="C29" t="s">
        <v>1068</v>
      </c>
      <c r="D29" s="5" t="s">
        <v>2066</v>
      </c>
      <c r="E29" t="str">
        <f t="shared" si="3"/>
        <v>UPDATE [MAP].[T_TRANS_VENDOR] SET NEW_VENDOR_ID = 'V0027' WHERE LEGACY_VENDOR_ID = 'AJHENRYL' AND DATA_FOLDER_ID = 'sampl'</v>
      </c>
      <c r="F29" t="str">
        <f t="shared" si="4"/>
        <v>Changed</v>
      </c>
      <c r="G29" t="str">
        <f t="shared" si="5"/>
        <v>-</v>
      </c>
    </row>
    <row r="30" spans="1:7" x14ac:dyDescent="0.25">
      <c r="A30" s="2" t="s">
        <v>1</v>
      </c>
      <c r="B30" s="9" t="s">
        <v>67</v>
      </c>
      <c r="C30" t="s">
        <v>1069</v>
      </c>
      <c r="D30" s="5" t="s">
        <v>2067</v>
      </c>
      <c r="E30" t="str">
        <f t="shared" si="3"/>
        <v>UPDATE [MAP].[T_TRANS_VENDOR] SET NEW_VENDOR_ID = 'V0028' WHERE LEGACY_VENDOR_ID = 'AJIMCO' AND DATA_FOLDER_ID = 'sampl'</v>
      </c>
      <c r="F30" t="str">
        <f t="shared" si="4"/>
        <v>Changed</v>
      </c>
      <c r="G30" t="str">
        <f t="shared" si="5"/>
        <v>-</v>
      </c>
    </row>
    <row r="31" spans="1:7" x14ac:dyDescent="0.25">
      <c r="A31" s="2" t="s">
        <v>1</v>
      </c>
      <c r="B31" s="9" t="s">
        <v>68</v>
      </c>
      <c r="C31" t="s">
        <v>1070</v>
      </c>
      <c r="D31" s="5" t="s">
        <v>2068</v>
      </c>
      <c r="E31" t="str">
        <f t="shared" si="3"/>
        <v>UPDATE [MAP].[T_TRANS_VENDOR] SET NEW_VENDOR_ID = 'V0029' WHERE LEGACY_VENDOR_ID = 'ALANN' AND DATA_FOLDER_ID = 'sampl'</v>
      </c>
      <c r="F31" t="str">
        <f t="shared" si="4"/>
        <v>Changed</v>
      </c>
      <c r="G31" t="str">
        <f t="shared" si="5"/>
        <v>-</v>
      </c>
    </row>
    <row r="32" spans="1:7" x14ac:dyDescent="0.25">
      <c r="A32" s="2" t="s">
        <v>1</v>
      </c>
      <c r="B32" s="9" t="s">
        <v>69</v>
      </c>
      <c r="C32" t="s">
        <v>1071</v>
      </c>
      <c r="D32" s="5" t="s">
        <v>2069</v>
      </c>
      <c r="E32" t="str">
        <f t="shared" si="3"/>
        <v>UPDATE [MAP].[T_TRANS_VENDOR] SET NEW_VENDOR_ID = 'V0030' WHERE LEGACY_VENDOR_ID = 'ALANTYE' AND DATA_FOLDER_ID = 'sampl'</v>
      </c>
      <c r="F32" t="str">
        <f t="shared" si="4"/>
        <v>Changed</v>
      </c>
      <c r="G32" t="str">
        <f t="shared" si="5"/>
        <v>-</v>
      </c>
    </row>
    <row r="33" spans="1:7" x14ac:dyDescent="0.25">
      <c r="A33" s="2" t="s">
        <v>1</v>
      </c>
      <c r="B33" s="9" t="s">
        <v>70</v>
      </c>
      <c r="C33" t="s">
        <v>1072</v>
      </c>
      <c r="D33" s="5" t="s">
        <v>2070</v>
      </c>
      <c r="E33" t="str">
        <f t="shared" si="3"/>
        <v>UPDATE [MAP].[T_TRANS_VENDOR] SET NEW_VENDOR_ID = 'V0031' WHERE LEGACY_VENDOR_ID = 'ALANWYCH' AND DATA_FOLDER_ID = 'sampl'</v>
      </c>
      <c r="F33" t="str">
        <f t="shared" si="4"/>
        <v>Changed</v>
      </c>
      <c r="G33" t="str">
        <f t="shared" si="5"/>
        <v>-</v>
      </c>
    </row>
    <row r="34" spans="1:7" x14ac:dyDescent="0.25">
      <c r="A34" s="2" t="s">
        <v>1</v>
      </c>
      <c r="B34" s="9" t="s">
        <v>71</v>
      </c>
      <c r="C34" t="s">
        <v>1073</v>
      </c>
      <c r="D34" s="5" t="s">
        <v>2071</v>
      </c>
      <c r="E34" t="str">
        <f t="shared" si="3"/>
        <v>UPDATE [MAP].[T_TRANS_VENDOR] SET NEW_VENDOR_ID = 'V0032' WHERE LEGACY_VENDOR_ID = 'ALICON' AND DATA_FOLDER_ID = 'sampl'</v>
      </c>
      <c r="F34" t="str">
        <f t="shared" si="4"/>
        <v>Changed</v>
      </c>
      <c r="G34" t="str">
        <f t="shared" si="5"/>
        <v>-</v>
      </c>
    </row>
    <row r="35" spans="1:7" x14ac:dyDescent="0.25">
      <c r="A35" s="2" t="s">
        <v>1</v>
      </c>
      <c r="B35" s="9" t="s">
        <v>72</v>
      </c>
      <c r="C35" t="s">
        <v>1074</v>
      </c>
      <c r="D35" s="5" t="s">
        <v>2072</v>
      </c>
      <c r="E35" t="str">
        <f t="shared" si="3"/>
        <v>UPDATE [MAP].[T_TRANS_VENDOR] SET NEW_VENDOR_ID = 'V0033' WHERE LEGACY_VENDOR_ID = 'ALLAMERI' AND DATA_FOLDER_ID = 'sampl'</v>
      </c>
      <c r="F35" t="str">
        <f t="shared" si="4"/>
        <v>Changed</v>
      </c>
      <c r="G35" t="str">
        <f t="shared" si="5"/>
        <v>-</v>
      </c>
    </row>
    <row r="36" spans="1:7" x14ac:dyDescent="0.25">
      <c r="A36" s="2" t="s">
        <v>1</v>
      </c>
      <c r="B36" s="9" t="s">
        <v>73</v>
      </c>
      <c r="C36" t="s">
        <v>1075</v>
      </c>
      <c r="D36" s="5" t="s">
        <v>2073</v>
      </c>
      <c r="E36" t="str">
        <f t="shared" si="3"/>
        <v>UPDATE [MAP].[T_TRANS_VENDOR] SET NEW_VENDOR_ID = 'V0034' WHERE LEGACY_VENDOR_ID = 'ALLGUTTE' AND DATA_FOLDER_ID = 'sampl'</v>
      </c>
      <c r="F36" t="str">
        <f t="shared" si="4"/>
        <v>Changed</v>
      </c>
      <c r="G36" t="str">
        <f t="shared" si="5"/>
        <v>-</v>
      </c>
    </row>
    <row r="37" spans="1:7" x14ac:dyDescent="0.25">
      <c r="A37" s="2" t="s">
        <v>1</v>
      </c>
      <c r="B37" s="9" t="s">
        <v>74</v>
      </c>
      <c r="C37" t="s">
        <v>1076</v>
      </c>
      <c r="D37" s="5" t="s">
        <v>2074</v>
      </c>
      <c r="E37" t="str">
        <f t="shared" si="3"/>
        <v>UPDATE [MAP].[T_TRANS_VENDOR] SET NEW_VENDOR_ID = 'V0035' WHERE LEGACY_VENDOR_ID = 'ALLIANCE' AND DATA_FOLDER_ID = 'sampl'</v>
      </c>
      <c r="F37" t="str">
        <f t="shared" si="4"/>
        <v>Changed</v>
      </c>
      <c r="G37" t="str">
        <f t="shared" si="5"/>
        <v>-</v>
      </c>
    </row>
    <row r="38" spans="1:7" x14ac:dyDescent="0.25">
      <c r="A38" s="2" t="s">
        <v>1</v>
      </c>
      <c r="B38" s="9" t="s">
        <v>75</v>
      </c>
      <c r="C38" t="s">
        <v>1077</v>
      </c>
      <c r="D38" s="5" t="s">
        <v>2075</v>
      </c>
      <c r="E38" t="str">
        <f t="shared" si="3"/>
        <v>UPDATE [MAP].[T_TRANS_VENDOR] SET NEW_VENDOR_ID = 'V0036' WHERE LEGACY_VENDOR_ID = 'ALLONECH' AND DATA_FOLDER_ID = 'sampl'</v>
      </c>
      <c r="F38" t="str">
        <f t="shared" si="4"/>
        <v>Changed</v>
      </c>
      <c r="G38" t="str">
        <f t="shared" si="5"/>
        <v>-</v>
      </c>
    </row>
    <row r="39" spans="1:7" x14ac:dyDescent="0.25">
      <c r="A39" s="2" t="s">
        <v>1</v>
      </c>
      <c r="B39" s="9" t="s">
        <v>76</v>
      </c>
      <c r="C39" t="s">
        <v>1078</v>
      </c>
      <c r="D39" s="5" t="s">
        <v>2076</v>
      </c>
      <c r="E39" t="str">
        <f t="shared" si="3"/>
        <v>UPDATE [MAP].[T_TRANS_VENDOR] SET NEW_VENDOR_ID = 'V0037' WHERE LEGACY_VENDOR_ID = 'ALLSEPTI' AND DATA_FOLDER_ID = 'sampl'</v>
      </c>
      <c r="F39" t="str">
        <f t="shared" si="4"/>
        <v>Changed</v>
      </c>
      <c r="G39" t="str">
        <f t="shared" si="5"/>
        <v>-</v>
      </c>
    </row>
    <row r="40" spans="1:7" x14ac:dyDescent="0.25">
      <c r="A40" s="2" t="s">
        <v>1</v>
      </c>
      <c r="B40" s="9" t="s">
        <v>77</v>
      </c>
      <c r="C40" t="s">
        <v>1079</v>
      </c>
      <c r="D40" s="5" t="s">
        <v>2077</v>
      </c>
      <c r="E40" t="str">
        <f t="shared" si="3"/>
        <v>UPDATE [MAP].[T_TRANS_VENDOR] SET NEW_VENDOR_ID = 'V0038' WHERE LEGACY_VENDOR_ID = 'ALPHAOME' AND DATA_FOLDER_ID = 'sampl'</v>
      </c>
      <c r="F40" t="str">
        <f t="shared" si="4"/>
        <v>Changed</v>
      </c>
      <c r="G40" t="str">
        <f t="shared" si="5"/>
        <v>-</v>
      </c>
    </row>
    <row r="41" spans="1:7" x14ac:dyDescent="0.25">
      <c r="A41" s="2" t="s">
        <v>1</v>
      </c>
      <c r="B41" s="9" t="s">
        <v>78</v>
      </c>
      <c r="C41" t="s">
        <v>1080</v>
      </c>
      <c r="D41" s="5" t="s">
        <v>2078</v>
      </c>
      <c r="E41" t="str">
        <f t="shared" si="3"/>
        <v>UPDATE [MAP].[T_TRANS_VENDOR] SET NEW_VENDOR_ID = 'V0039' WHERE LEGACY_VENDOR_ID = 'ALPINEBU' AND DATA_FOLDER_ID = 'sampl'</v>
      </c>
      <c r="F41" t="str">
        <f t="shared" si="4"/>
        <v>Changed</v>
      </c>
      <c r="G41" t="str">
        <f t="shared" si="5"/>
        <v>-</v>
      </c>
    </row>
    <row r="42" spans="1:7" x14ac:dyDescent="0.25">
      <c r="A42" s="2" t="s">
        <v>1</v>
      </c>
      <c r="B42" s="9" t="s">
        <v>79</v>
      </c>
      <c r="C42" t="s">
        <v>1081</v>
      </c>
      <c r="D42" s="5" t="s">
        <v>2079</v>
      </c>
      <c r="E42" t="str">
        <f t="shared" si="3"/>
        <v>UPDATE [MAP].[T_TRANS_VENDOR] SET NEW_VENDOR_ID = 'V0040' WHERE LEGACY_VENDOR_ID = 'AMECONCR' AND DATA_FOLDER_ID = 'sampl'</v>
      </c>
      <c r="F42" t="str">
        <f t="shared" si="4"/>
        <v>Changed</v>
      </c>
      <c r="G42" t="str">
        <f t="shared" si="5"/>
        <v>-</v>
      </c>
    </row>
    <row r="43" spans="1:7" x14ac:dyDescent="0.25">
      <c r="A43" s="2" t="s">
        <v>1</v>
      </c>
      <c r="B43" s="9" t="s">
        <v>80</v>
      </c>
      <c r="C43" t="s">
        <v>1082</v>
      </c>
      <c r="D43" s="5" t="s">
        <v>2080</v>
      </c>
      <c r="E43" t="str">
        <f t="shared" si="3"/>
        <v>UPDATE [MAP].[T_TRANS_VENDOR] SET NEW_VENDOR_ID = 'V0041' WHERE LEGACY_VENDOR_ID = 'AMEEXPRE' AND DATA_FOLDER_ID = 'sampl'</v>
      </c>
      <c r="F43" t="str">
        <f t="shared" si="4"/>
        <v>Changed</v>
      </c>
      <c r="G43" t="str">
        <f t="shared" si="5"/>
        <v>-</v>
      </c>
    </row>
    <row r="44" spans="1:7" x14ac:dyDescent="0.25">
      <c r="A44" s="2" t="s">
        <v>1</v>
      </c>
      <c r="B44" s="9" t="s">
        <v>81</v>
      </c>
      <c r="C44" t="s">
        <v>1083</v>
      </c>
      <c r="D44" s="5" t="s">
        <v>2081</v>
      </c>
      <c r="E44" t="str">
        <f t="shared" si="3"/>
        <v>UPDATE [MAP].[T_TRANS_VENDOR] SET NEW_VENDOR_ID = 'V0042' WHERE LEGACY_VENDOR_ID = 'AMERICPA' AND DATA_FOLDER_ID = 'sampl'</v>
      </c>
      <c r="F44" t="str">
        <f t="shared" si="4"/>
        <v>Changed</v>
      </c>
      <c r="G44" t="str">
        <f t="shared" si="5"/>
        <v>-</v>
      </c>
    </row>
    <row r="45" spans="1:7" x14ac:dyDescent="0.25">
      <c r="A45" s="2" t="s">
        <v>1</v>
      </c>
      <c r="B45" s="9" t="s">
        <v>82</v>
      </c>
      <c r="C45" t="s">
        <v>1084</v>
      </c>
      <c r="D45" s="5" t="s">
        <v>2082</v>
      </c>
      <c r="E45" t="str">
        <f t="shared" si="3"/>
        <v>UPDATE [MAP].[T_TRANS_VENDOR] SET NEW_VENDOR_ID = 'V0044' WHERE LEGACY_VENDOR_ID = 'AMERPROD' AND DATA_FOLDER_ID = 'sampl'</v>
      </c>
      <c r="F45" t="str">
        <f t="shared" si="4"/>
        <v>Changed</v>
      </c>
      <c r="G45" t="str">
        <f t="shared" si="5"/>
        <v>-</v>
      </c>
    </row>
    <row r="46" spans="1:7" x14ac:dyDescent="0.25">
      <c r="A46" s="2" t="s">
        <v>1</v>
      </c>
      <c r="B46" s="9" t="s">
        <v>83</v>
      </c>
      <c r="C46" t="s">
        <v>1085</v>
      </c>
      <c r="D46" s="5" t="s">
        <v>2083</v>
      </c>
      <c r="E46" t="str">
        <f t="shared" si="3"/>
        <v>UPDATE [MAP].[T_TRANS_VENDOR] SET NEW_VENDOR_ID = 'V0045' WHERE LEGACY_VENDOR_ID = 'ANDREWBI' AND DATA_FOLDER_ID = 'sampl'</v>
      </c>
      <c r="F46" t="str">
        <f t="shared" si="4"/>
        <v>Changed</v>
      </c>
      <c r="G46" t="str">
        <f t="shared" si="5"/>
        <v>-</v>
      </c>
    </row>
    <row r="47" spans="1:7" x14ac:dyDescent="0.25">
      <c r="A47" s="2" t="s">
        <v>1</v>
      </c>
      <c r="B47" s="9" t="s">
        <v>84</v>
      </c>
      <c r="C47" t="s">
        <v>1086</v>
      </c>
      <c r="D47" s="5" t="s">
        <v>2084</v>
      </c>
      <c r="E47" t="str">
        <f t="shared" si="3"/>
        <v>UPDATE [MAP].[T_TRANS_VENDOR] SET NEW_VENDOR_ID = 'V0046' WHERE LEGACY_VENDOR_ID = 'ANDRUSBA' AND DATA_FOLDER_ID = 'sampl'</v>
      </c>
      <c r="F47" t="str">
        <f t="shared" si="4"/>
        <v>Changed</v>
      </c>
      <c r="G47" t="str">
        <f t="shared" si="5"/>
        <v>-</v>
      </c>
    </row>
    <row r="48" spans="1:7" x14ac:dyDescent="0.25">
      <c r="A48" s="2" t="s">
        <v>1</v>
      </c>
      <c r="B48" s="9" t="s">
        <v>85</v>
      </c>
      <c r="C48" t="s">
        <v>1087</v>
      </c>
      <c r="D48" s="5" t="s">
        <v>2085</v>
      </c>
      <c r="E48" t="str">
        <f t="shared" si="3"/>
        <v>UPDATE [MAP].[T_TRANS_VENDOR] SET NEW_VENDOR_ID = 'V0047' WHERE LEGACY_VENDOR_ID = 'ANTHONY' AND DATA_FOLDER_ID = 'sampl'</v>
      </c>
      <c r="F48" t="str">
        <f t="shared" si="4"/>
        <v>Changed</v>
      </c>
      <c r="G48" t="str">
        <f t="shared" si="5"/>
        <v>-</v>
      </c>
    </row>
    <row r="49" spans="1:7" x14ac:dyDescent="0.25">
      <c r="A49" s="2" t="s">
        <v>1</v>
      </c>
      <c r="B49" s="9" t="s">
        <v>86</v>
      </c>
      <c r="C49" t="s">
        <v>1088</v>
      </c>
      <c r="D49" s="5" t="s">
        <v>2086</v>
      </c>
      <c r="E49" t="str">
        <f t="shared" si="3"/>
        <v>UPDATE [MAP].[T_TRANS_VENDOR] SET NEW_VENDOR_ID = 'V0048' WHERE LEGACY_VENDOR_ID = 'ANTONIO' AND DATA_FOLDER_ID = 'sampl'</v>
      </c>
      <c r="F49" t="str">
        <f t="shared" si="4"/>
        <v>Changed</v>
      </c>
      <c r="G49" t="str">
        <f t="shared" si="5"/>
        <v>-</v>
      </c>
    </row>
    <row r="50" spans="1:7" x14ac:dyDescent="0.25">
      <c r="A50" s="2" t="s">
        <v>1</v>
      </c>
      <c r="B50" s="9" t="s">
        <v>87</v>
      </c>
      <c r="C50" t="s">
        <v>1089</v>
      </c>
      <c r="D50" s="5" t="s">
        <v>2087</v>
      </c>
      <c r="E50" t="str">
        <f t="shared" si="3"/>
        <v>UPDATE [MAP].[T_TRANS_VENDOR] SET NEW_VENDOR_ID = 'V0049' WHERE LEGACY_VENDOR_ID = 'APOLLOGR' AND DATA_FOLDER_ID = 'sampl'</v>
      </c>
      <c r="F50" t="str">
        <f t="shared" si="4"/>
        <v>Changed</v>
      </c>
      <c r="G50" t="str">
        <f t="shared" si="5"/>
        <v>-</v>
      </c>
    </row>
    <row r="51" spans="1:7" x14ac:dyDescent="0.25">
      <c r="A51" s="2" t="s">
        <v>1</v>
      </c>
      <c r="B51" s="9" t="s">
        <v>88</v>
      </c>
      <c r="C51" t="s">
        <v>1090</v>
      </c>
      <c r="D51" s="5" t="s">
        <v>2088</v>
      </c>
      <c r="E51" t="str">
        <f t="shared" si="3"/>
        <v>UPDATE [MAP].[T_TRANS_VENDOR] SET NEW_VENDOR_ID = 'V0050' WHERE LEGACY_VENDOR_ID = 'APPLIEDV' AND DATA_FOLDER_ID = 'sampl'</v>
      </c>
      <c r="F51" t="str">
        <f t="shared" si="4"/>
        <v>Changed</v>
      </c>
      <c r="G51" t="str">
        <f t="shared" si="5"/>
        <v>-</v>
      </c>
    </row>
    <row r="52" spans="1:7" x14ac:dyDescent="0.25">
      <c r="A52" s="2" t="s">
        <v>1</v>
      </c>
      <c r="B52" s="9" t="s">
        <v>89</v>
      </c>
      <c r="C52" t="s">
        <v>1091</v>
      </c>
      <c r="D52" s="5" t="s">
        <v>2089</v>
      </c>
      <c r="E52" t="str">
        <f t="shared" si="3"/>
        <v>UPDATE [MAP].[T_TRANS_VENDOR] SET NEW_VENDOR_ID = 'V0051' WHERE LEGACY_VENDOR_ID = 'APPLTION' AND DATA_FOLDER_ID = 'sampl'</v>
      </c>
      <c r="F52" t="str">
        <f t="shared" si="4"/>
        <v>Changed</v>
      </c>
      <c r="G52" t="str">
        <f t="shared" si="5"/>
        <v>-</v>
      </c>
    </row>
    <row r="53" spans="1:7" x14ac:dyDescent="0.25">
      <c r="A53" s="2" t="s">
        <v>1</v>
      </c>
      <c r="B53" s="9" t="s">
        <v>90</v>
      </c>
      <c r="C53" t="s">
        <v>1092</v>
      </c>
      <c r="D53" s="5" t="s">
        <v>2090</v>
      </c>
      <c r="E53" t="str">
        <f t="shared" si="3"/>
        <v>UPDATE [MAP].[T_TRANS_VENDOR] SET NEW_VENDOR_ID = 'V0052' WHERE LEGACY_VENDOR_ID = 'APPTECHS' AND DATA_FOLDER_ID = 'sampl'</v>
      </c>
      <c r="F53" t="str">
        <f t="shared" si="4"/>
        <v>Changed</v>
      </c>
      <c r="G53" t="str">
        <f t="shared" si="5"/>
        <v>-</v>
      </c>
    </row>
    <row r="54" spans="1:7" x14ac:dyDescent="0.25">
      <c r="A54" s="2" t="s">
        <v>1</v>
      </c>
      <c r="B54" s="9" t="s">
        <v>91</v>
      </c>
      <c r="C54" t="s">
        <v>1093</v>
      </c>
      <c r="D54" s="5" t="s">
        <v>2091</v>
      </c>
      <c r="E54" t="str">
        <f t="shared" si="3"/>
        <v>UPDATE [MAP].[T_TRANS_VENDOR] SET NEW_VENDOR_ID = 'V0053' WHERE LEGACY_VENDOR_ID = 'APTDISTR' AND DATA_FOLDER_ID = 'sampl'</v>
      </c>
      <c r="F54" t="str">
        <f t="shared" si="4"/>
        <v>Changed</v>
      </c>
      <c r="G54" t="str">
        <f t="shared" si="5"/>
        <v>-</v>
      </c>
    </row>
    <row r="55" spans="1:7" x14ac:dyDescent="0.25">
      <c r="A55" s="2" t="s">
        <v>1</v>
      </c>
      <c r="B55" s="9" t="s">
        <v>92</v>
      </c>
      <c r="C55" t="s">
        <v>1094</v>
      </c>
      <c r="D55" s="5" t="s">
        <v>2092</v>
      </c>
      <c r="E55" t="str">
        <f t="shared" si="3"/>
        <v>UPDATE [MAP].[T_TRANS_VENDOR] SET NEW_VENDOR_ID = 'V0054' WHERE LEGACY_VENDOR_ID = 'ARBONEQUIP' AND DATA_FOLDER_ID = 'sampl'</v>
      </c>
      <c r="F55" t="str">
        <f t="shared" si="4"/>
        <v>Changed</v>
      </c>
      <c r="G55" t="str">
        <f t="shared" si="5"/>
        <v>-</v>
      </c>
    </row>
    <row r="56" spans="1:7" x14ac:dyDescent="0.25">
      <c r="A56" s="2" t="s">
        <v>1</v>
      </c>
      <c r="B56" s="9" t="s">
        <v>93</v>
      </c>
      <c r="C56" t="s">
        <v>1095</v>
      </c>
      <c r="D56" s="5" t="s">
        <v>2093</v>
      </c>
      <c r="E56" t="str">
        <f t="shared" si="3"/>
        <v>UPDATE [MAP].[T_TRANS_VENDOR] SET NEW_VENDOR_ID = 'V0055' WHERE LEGACY_VENDOR_ID = 'ARC' AND DATA_FOLDER_ID = 'sampl'</v>
      </c>
      <c r="F56" t="str">
        <f t="shared" si="4"/>
        <v>Changed</v>
      </c>
      <c r="G56" t="str">
        <f t="shared" si="5"/>
        <v>-</v>
      </c>
    </row>
    <row r="57" spans="1:7" x14ac:dyDescent="0.25">
      <c r="A57" s="2" t="s">
        <v>1</v>
      </c>
      <c r="B57" s="9" t="s">
        <v>94</v>
      </c>
      <c r="C57" t="s">
        <v>1096</v>
      </c>
      <c r="D57" s="5" t="s">
        <v>2094</v>
      </c>
      <c r="E57" t="str">
        <f t="shared" si="3"/>
        <v>UPDATE [MAP].[T_TRANS_VENDOR] SET NEW_VENDOR_ID = 'V0056' WHERE LEGACY_VENDOR_ID = 'ARCHAEA' AND DATA_FOLDER_ID = 'sampl'</v>
      </c>
      <c r="F57" t="str">
        <f t="shared" si="4"/>
        <v>Changed</v>
      </c>
      <c r="G57" t="str">
        <f t="shared" si="5"/>
        <v>-</v>
      </c>
    </row>
    <row r="58" spans="1:7" x14ac:dyDescent="0.25">
      <c r="A58" s="2" t="s">
        <v>1</v>
      </c>
      <c r="B58" s="9" t="s">
        <v>95</v>
      </c>
      <c r="C58" t="s">
        <v>1097</v>
      </c>
      <c r="D58" s="5" t="s">
        <v>2095</v>
      </c>
      <c r="E58" t="str">
        <f t="shared" si="3"/>
        <v>UPDATE [MAP].[T_TRANS_VENDOR] SET NEW_VENDOR_ID = 'V0057' WHERE LEGACY_VENDOR_ID = 'ARCHBUIL' AND DATA_FOLDER_ID = 'sampl'</v>
      </c>
      <c r="F58" t="str">
        <f t="shared" si="4"/>
        <v>Changed</v>
      </c>
      <c r="G58" t="str">
        <f t="shared" si="5"/>
        <v>-</v>
      </c>
    </row>
    <row r="59" spans="1:7" x14ac:dyDescent="0.25">
      <c r="A59" s="2" t="s">
        <v>1</v>
      </c>
      <c r="B59" s="9" t="s">
        <v>96</v>
      </c>
      <c r="C59" t="s">
        <v>1098</v>
      </c>
      <c r="D59" s="5" t="s">
        <v>2096</v>
      </c>
      <c r="E59" t="str">
        <f t="shared" si="3"/>
        <v>UPDATE [MAP].[T_TRANS_VENDOR] SET NEW_VENDOR_ID = 'V0058' WHERE LEGACY_VENDOR_ID = 'ARCHLOUV' AND DATA_FOLDER_ID = 'sampl'</v>
      </c>
      <c r="F59" t="str">
        <f t="shared" si="4"/>
        <v>Changed</v>
      </c>
      <c r="G59" t="str">
        <f t="shared" si="5"/>
        <v>-</v>
      </c>
    </row>
    <row r="60" spans="1:7" x14ac:dyDescent="0.25">
      <c r="A60" s="2" t="s">
        <v>1</v>
      </c>
      <c r="B60" s="9" t="s">
        <v>97</v>
      </c>
      <c r="C60" t="s">
        <v>1099</v>
      </c>
      <c r="D60" s="5" t="s">
        <v>2097</v>
      </c>
      <c r="E60" t="str">
        <f t="shared" si="3"/>
        <v>UPDATE [MAP].[T_TRANS_VENDOR] SET NEW_VENDOR_ID = 'V0059' WHERE LEGACY_VENDOR_ID = 'ARCHSHET' AND DATA_FOLDER_ID = 'sampl'</v>
      </c>
      <c r="F60" t="str">
        <f t="shared" si="4"/>
        <v>Changed</v>
      </c>
      <c r="G60" t="str">
        <f t="shared" si="5"/>
        <v>-</v>
      </c>
    </row>
    <row r="61" spans="1:7" x14ac:dyDescent="0.25">
      <c r="A61" s="2" t="s">
        <v>1</v>
      </c>
      <c r="B61" s="9" t="s">
        <v>98</v>
      </c>
      <c r="C61" t="s">
        <v>1100</v>
      </c>
      <c r="D61" s="5" t="s">
        <v>2098</v>
      </c>
      <c r="E61" t="str">
        <f t="shared" si="3"/>
        <v>UPDATE [MAP].[T_TRANS_VENDOR] SET NEW_VENDOR_ID = 'V0060' WHERE LEGACY_VENDOR_ID = 'ARCHSTON' AND DATA_FOLDER_ID = 'sampl'</v>
      </c>
      <c r="F61" t="str">
        <f t="shared" si="4"/>
        <v>Changed</v>
      </c>
      <c r="G61" t="str">
        <f t="shared" si="5"/>
        <v>-</v>
      </c>
    </row>
    <row r="62" spans="1:7" x14ac:dyDescent="0.25">
      <c r="A62" s="2" t="s">
        <v>1</v>
      </c>
      <c r="B62" s="9" t="s">
        <v>99</v>
      </c>
      <c r="C62" t="s">
        <v>1101</v>
      </c>
      <c r="D62" s="5" t="s">
        <v>2099</v>
      </c>
      <c r="E62" t="str">
        <f t="shared" si="3"/>
        <v>UPDATE [MAP].[T_TRANS_VENDOR] SET NEW_VENDOR_ID = 'V0061' WHERE LEGACY_VENDOR_ID = 'ARCHWIND' AND DATA_FOLDER_ID = 'sampl'</v>
      </c>
      <c r="F62" t="str">
        <f t="shared" si="4"/>
        <v>Changed</v>
      </c>
      <c r="G62" t="str">
        <f t="shared" si="5"/>
        <v>-</v>
      </c>
    </row>
    <row r="63" spans="1:7" x14ac:dyDescent="0.25">
      <c r="A63" s="2" t="s">
        <v>1</v>
      </c>
      <c r="B63" s="9" t="s">
        <v>100</v>
      </c>
      <c r="C63" t="s">
        <v>1102</v>
      </c>
      <c r="D63" s="5" t="s">
        <v>2100</v>
      </c>
      <c r="E63" t="str">
        <f t="shared" si="3"/>
        <v>UPDATE [MAP].[T_TRANS_VENDOR] SET NEW_VENDOR_ID = 'V0062' WHERE LEGACY_VENDOR_ID = 'ARENAMAI' AND DATA_FOLDER_ID = 'sampl'</v>
      </c>
      <c r="F63" t="str">
        <f t="shared" si="4"/>
        <v>Changed</v>
      </c>
      <c r="G63" t="str">
        <f t="shared" si="5"/>
        <v>-</v>
      </c>
    </row>
    <row r="64" spans="1:7" x14ac:dyDescent="0.25">
      <c r="A64" s="2" t="s">
        <v>1</v>
      </c>
      <c r="B64" s="9" t="s">
        <v>101</v>
      </c>
      <c r="C64" t="s">
        <v>1103</v>
      </c>
      <c r="D64" s="5" t="s">
        <v>2101</v>
      </c>
      <c r="E64" t="str">
        <f t="shared" si="3"/>
        <v>UPDATE [MAP].[T_TRANS_VENDOR] SET NEW_VENDOR_ID = 'V0063' WHERE LEGACY_VENDOR_ID = 'ARLEYWHO' AND DATA_FOLDER_ID = 'sampl'</v>
      </c>
      <c r="F64" t="str">
        <f t="shared" si="4"/>
        <v>Changed</v>
      </c>
      <c r="G64" t="str">
        <f t="shared" si="5"/>
        <v>-</v>
      </c>
    </row>
    <row r="65" spans="1:7" x14ac:dyDescent="0.25">
      <c r="A65" s="2" t="s">
        <v>1</v>
      </c>
      <c r="B65" s="9" t="s">
        <v>102</v>
      </c>
      <c r="C65" t="s">
        <v>1104</v>
      </c>
      <c r="D65" s="5" t="s">
        <v>2102</v>
      </c>
      <c r="E65" t="str">
        <f t="shared" si="3"/>
        <v>UPDATE [MAP].[T_TRANS_VENDOR] SET NEW_VENDOR_ID = 'V0064' WHERE LEGACY_VENDOR_ID = 'ARMGROUP' AND DATA_FOLDER_ID = 'sampl'</v>
      </c>
      <c r="F65" t="str">
        <f t="shared" si="4"/>
        <v>Changed</v>
      </c>
      <c r="G65" t="str">
        <f t="shared" si="5"/>
        <v>-</v>
      </c>
    </row>
    <row r="66" spans="1:7" x14ac:dyDescent="0.25">
      <c r="A66" s="2" t="s">
        <v>1</v>
      </c>
      <c r="B66" s="9" t="s">
        <v>103</v>
      </c>
      <c r="C66" t="s">
        <v>1105</v>
      </c>
      <c r="D66" s="5" t="s">
        <v>2103</v>
      </c>
      <c r="E66" t="str">
        <f t="shared" si="3"/>
        <v>UPDATE [MAP].[T_TRANS_VENDOR] SET NEW_VENDOR_ID = 'V0065' WHERE LEGACY_VENDOR_ID = 'ARORAENG' AND DATA_FOLDER_ID = 'sampl'</v>
      </c>
      <c r="F66" t="str">
        <f t="shared" si="4"/>
        <v>Changed</v>
      </c>
      <c r="G66" t="str">
        <f t="shared" si="5"/>
        <v>-</v>
      </c>
    </row>
    <row r="67" spans="1:7" x14ac:dyDescent="0.25">
      <c r="A67" s="2" t="s">
        <v>1</v>
      </c>
      <c r="B67" s="9" t="s">
        <v>104</v>
      </c>
      <c r="C67" t="s">
        <v>1106</v>
      </c>
      <c r="D67" s="5" t="s">
        <v>2104</v>
      </c>
      <c r="E67" t="str">
        <f t="shared" si="3"/>
        <v>UPDATE [MAP].[T_TRANS_VENDOR] SET NEW_VENDOR_ID = 'V0066' WHERE LEGACY_VENDOR_ID = 'ARTEX' AND DATA_FOLDER_ID = 'sampl'</v>
      </c>
      <c r="F67" t="str">
        <f t="shared" si="4"/>
        <v>Changed</v>
      </c>
      <c r="G67" t="str">
        <f t="shared" si="5"/>
        <v>-</v>
      </c>
    </row>
    <row r="68" spans="1:7" x14ac:dyDescent="0.25">
      <c r="A68" s="2" t="s">
        <v>1</v>
      </c>
      <c r="B68" s="9" t="s">
        <v>105</v>
      </c>
      <c r="C68" t="s">
        <v>1107</v>
      </c>
      <c r="D68" s="5" t="s">
        <v>2105</v>
      </c>
      <c r="E68" t="str">
        <f t="shared" si="3"/>
        <v>UPDATE [MAP].[T_TRANS_VENDOR] SET NEW_VENDOR_ID = 'V0067' WHERE LEGACY_VENDOR_ID = 'ARTISAND' AND DATA_FOLDER_ID = 'sampl'</v>
      </c>
      <c r="F68" t="str">
        <f t="shared" si="4"/>
        <v>Changed</v>
      </c>
      <c r="G68" t="str">
        <f t="shared" si="5"/>
        <v>-</v>
      </c>
    </row>
    <row r="69" spans="1:7" x14ac:dyDescent="0.25">
      <c r="A69" s="2" t="s">
        <v>1</v>
      </c>
      <c r="B69" s="9" t="s">
        <v>106</v>
      </c>
      <c r="C69" t="s">
        <v>1108</v>
      </c>
      <c r="D69" s="5" t="s">
        <v>2106</v>
      </c>
      <c r="E69" t="str">
        <f t="shared" si="3"/>
        <v>UPDATE [MAP].[T_TRANS_VENDOR] SET NEW_VENDOR_ID = 'V0068' WHERE LEGACY_VENDOR_ID = 'ASIDOORS' AND DATA_FOLDER_ID = 'sampl'</v>
      </c>
      <c r="F69" t="str">
        <f t="shared" si="4"/>
        <v>Changed</v>
      </c>
      <c r="G69" t="str">
        <f t="shared" si="5"/>
        <v>-</v>
      </c>
    </row>
    <row r="70" spans="1:7" x14ac:dyDescent="0.25">
      <c r="A70" s="2" t="s">
        <v>1</v>
      </c>
      <c r="B70" s="9" t="s">
        <v>107</v>
      </c>
      <c r="C70" t="s">
        <v>1109</v>
      </c>
      <c r="D70" s="5" t="s">
        <v>2107</v>
      </c>
      <c r="E70" t="str">
        <f t="shared" si="3"/>
        <v>UPDATE [MAP].[T_TRANS_VENDOR] SET NEW_VENDOR_ID = 'V0069' WHERE LEGACY_VENDOR_ID = 'ASMENVIR' AND DATA_FOLDER_ID = 'sampl'</v>
      </c>
      <c r="F70" t="str">
        <f t="shared" si="4"/>
        <v>Changed</v>
      </c>
      <c r="G70" t="str">
        <f t="shared" si="5"/>
        <v>-</v>
      </c>
    </row>
    <row r="71" spans="1:7" x14ac:dyDescent="0.25">
      <c r="A71" s="2" t="s">
        <v>1</v>
      </c>
      <c r="B71" s="9" t="s">
        <v>108</v>
      </c>
      <c r="C71" t="s">
        <v>1110</v>
      </c>
      <c r="D71" s="5" t="s">
        <v>2108</v>
      </c>
      <c r="E71" t="str">
        <f t="shared" si="3"/>
        <v>UPDATE [MAP].[T_TRANS_VENDOR] SET NEW_VENDOR_ID = 'V0070' WHERE LEGACY_VENDOR_ID = 'ATLANTEC' AND DATA_FOLDER_ID = 'sampl'</v>
      </c>
      <c r="F71" t="str">
        <f t="shared" si="4"/>
        <v>Changed</v>
      </c>
      <c r="G71" t="str">
        <f t="shared" si="5"/>
        <v>-</v>
      </c>
    </row>
    <row r="72" spans="1:7" x14ac:dyDescent="0.25">
      <c r="A72" s="2" t="s">
        <v>1</v>
      </c>
      <c r="B72" s="9" t="s">
        <v>109</v>
      </c>
      <c r="C72" t="s">
        <v>1111</v>
      </c>
      <c r="D72" s="5" t="s">
        <v>2109</v>
      </c>
      <c r="E72" t="str">
        <f t="shared" si="3"/>
        <v>UPDATE [MAP].[T_TRANS_VENDOR] SET NEW_VENDOR_ID = 'V0071' WHERE LEGACY_VENDOR_ID = 'ATLASGRO' AND DATA_FOLDER_ID = 'sampl'</v>
      </c>
      <c r="F72" t="str">
        <f t="shared" si="4"/>
        <v>Changed</v>
      </c>
      <c r="G72" t="str">
        <f t="shared" si="5"/>
        <v>-</v>
      </c>
    </row>
    <row r="73" spans="1:7" x14ac:dyDescent="0.25">
      <c r="A73" s="2" t="s">
        <v>1</v>
      </c>
      <c r="B73" s="9" t="s">
        <v>110</v>
      </c>
      <c r="C73" t="s">
        <v>1112</v>
      </c>
      <c r="D73" s="5" t="s">
        <v>2110</v>
      </c>
      <c r="E73" t="str">
        <f t="shared" si="3"/>
        <v>UPDATE [MAP].[T_TRANS_VENDOR] SET NEW_VENDOR_ID = 'V0072' WHERE LEGACY_VENDOR_ID = 'AUGUMACK' AND DATA_FOLDER_ID = 'sampl'</v>
      </c>
      <c r="F73" t="str">
        <f t="shared" si="4"/>
        <v>Changed</v>
      </c>
      <c r="G73" t="str">
        <f t="shared" si="5"/>
        <v>-</v>
      </c>
    </row>
    <row r="74" spans="1:7" x14ac:dyDescent="0.25">
      <c r="A74" s="2" t="s">
        <v>1</v>
      </c>
      <c r="B74" s="9" t="s">
        <v>111</v>
      </c>
      <c r="C74" t="s">
        <v>1113</v>
      </c>
      <c r="D74" s="5" t="s">
        <v>2111</v>
      </c>
      <c r="E74" t="str">
        <f t="shared" si="3"/>
        <v>UPDATE [MAP].[T_TRANS_VENDOR] SET NEW_VENDOR_ID = 'V0073' WHERE LEGACY_VENDOR_ID = 'AUSTINMO' AND DATA_FOLDER_ID = 'sampl'</v>
      </c>
      <c r="F74" t="str">
        <f t="shared" si="4"/>
        <v>Changed</v>
      </c>
      <c r="G74" t="str">
        <f t="shared" si="5"/>
        <v>-</v>
      </c>
    </row>
    <row r="75" spans="1:7" x14ac:dyDescent="0.25">
      <c r="A75" s="2" t="s">
        <v>1</v>
      </c>
      <c r="B75" s="9" t="s">
        <v>112</v>
      </c>
      <c r="C75" t="s">
        <v>1114</v>
      </c>
      <c r="D75" s="5" t="s">
        <v>2112</v>
      </c>
      <c r="E75" t="str">
        <f t="shared" si="3"/>
        <v>UPDATE [MAP].[T_TRANS_VENDOR] SET NEW_VENDOR_ID = 'V0074' WHERE LEGACY_VENDOR_ID = 'AUTOMATED' AND DATA_FOLDER_ID = 'sampl'</v>
      </c>
      <c r="F75" t="str">
        <f t="shared" si="4"/>
        <v>Changed</v>
      </c>
      <c r="G75" t="str">
        <f t="shared" si="5"/>
        <v>-</v>
      </c>
    </row>
    <row r="76" spans="1:7" x14ac:dyDescent="0.25">
      <c r="A76" s="2" t="s">
        <v>1</v>
      </c>
      <c r="B76" s="9" t="s">
        <v>113</v>
      </c>
      <c r="C76" t="s">
        <v>1115</v>
      </c>
      <c r="D76" s="5" t="s">
        <v>2113</v>
      </c>
      <c r="E76" t="str">
        <f t="shared" si="3"/>
        <v>UPDATE [MAP].[T_TRANS_VENDOR] SET NEW_VENDOR_ID = 'V0075' WHERE LEGACY_VENDOR_ID = 'AUTOMATI' AND DATA_FOLDER_ID = 'sampl'</v>
      </c>
      <c r="F76" t="str">
        <f t="shared" si="4"/>
        <v>Changed</v>
      </c>
      <c r="G76" t="str">
        <f t="shared" si="5"/>
        <v>-</v>
      </c>
    </row>
    <row r="77" spans="1:7" x14ac:dyDescent="0.25">
      <c r="A77" s="2" t="s">
        <v>1</v>
      </c>
      <c r="B77" s="9" t="s">
        <v>114</v>
      </c>
      <c r="C77" t="s">
        <v>1116</v>
      </c>
      <c r="D77" s="5" t="s">
        <v>2114</v>
      </c>
      <c r="E77" t="str">
        <f t="shared" si="3"/>
        <v>UPDATE [MAP].[T_TRANS_VENDOR] SET NEW_VENDOR_ID = 'V0076' WHERE LEGACY_VENDOR_ID = 'AUTOTECH' AND DATA_FOLDER_ID = 'sampl'</v>
      </c>
      <c r="F77" t="str">
        <f t="shared" si="4"/>
        <v>Changed</v>
      </c>
      <c r="G77" t="str">
        <f t="shared" si="5"/>
        <v>-</v>
      </c>
    </row>
    <row r="78" spans="1:7" x14ac:dyDescent="0.25">
      <c r="A78" s="2" t="s">
        <v>1</v>
      </c>
      <c r="B78" s="9" t="s">
        <v>115</v>
      </c>
      <c r="C78" t="s">
        <v>1117</v>
      </c>
      <c r="D78" s="5" t="s">
        <v>2115</v>
      </c>
      <c r="E78" t="str">
        <f t="shared" si="3"/>
        <v>UPDATE [MAP].[T_TRANS_VENDOR] SET NEW_VENDOR_ID = 'V0077' WHERE LEGACY_VENDOR_ID = 'AVERDI' AND DATA_FOLDER_ID = 'sampl'</v>
      </c>
      <c r="F78" t="str">
        <f t="shared" si="4"/>
        <v>Changed</v>
      </c>
      <c r="G78" t="str">
        <f t="shared" si="5"/>
        <v>-</v>
      </c>
    </row>
    <row r="79" spans="1:7" x14ac:dyDescent="0.25">
      <c r="A79" s="2" t="s">
        <v>1</v>
      </c>
      <c r="B79" s="9" t="s">
        <v>116</v>
      </c>
      <c r="C79" t="s">
        <v>1118</v>
      </c>
      <c r="D79" s="5" t="s">
        <v>2116</v>
      </c>
      <c r="E79" t="str">
        <f t="shared" ref="E79:E142" si="6">"UPDATE "&amp;$E$3&amp;" SET NEW_VENDOR_ID = '"&amp;D79&amp;"' WHERE LEGACY_VENDOR_ID = '"&amp;B79&amp;"' AND DATA_FOLDER_ID = '"&amp;$A79&amp;"'"</f>
        <v>UPDATE [MAP].[T_TRANS_VENDOR] SET NEW_VENDOR_ID = 'V0078' WHERE LEGACY_VENDOR_ID = 'AWCCONTR' AND DATA_FOLDER_ID = 'sampl'</v>
      </c>
      <c r="F79" t="str">
        <f t="shared" ref="F79:F142" si="7">IF(B79&lt;&gt;D79,"Changed","-")</f>
        <v>Changed</v>
      </c>
      <c r="G79" t="str">
        <f t="shared" ref="G79:G142" si="8">IF(B79="","Hide","-")</f>
        <v>-</v>
      </c>
    </row>
    <row r="80" spans="1:7" x14ac:dyDescent="0.25">
      <c r="A80" s="2" t="s">
        <v>1</v>
      </c>
      <c r="B80" s="9" t="s">
        <v>117</v>
      </c>
      <c r="C80" t="s">
        <v>1119</v>
      </c>
      <c r="D80" s="5" t="s">
        <v>2117</v>
      </c>
      <c r="E80" t="str">
        <f t="shared" si="6"/>
        <v>UPDATE [MAP].[T_TRANS_VENDOR] SET NEW_VENDOR_ID = 'V0079' WHERE LEGACY_VENDOR_ID = 'BADGERDAYL' AND DATA_FOLDER_ID = 'sampl'</v>
      </c>
      <c r="F80" t="str">
        <f t="shared" si="7"/>
        <v>Changed</v>
      </c>
      <c r="G80" t="str">
        <f t="shared" si="8"/>
        <v>-</v>
      </c>
    </row>
    <row r="81" spans="1:7" x14ac:dyDescent="0.25">
      <c r="A81" s="2" t="s">
        <v>1</v>
      </c>
      <c r="B81" s="9" t="s">
        <v>118</v>
      </c>
      <c r="C81" t="s">
        <v>1120</v>
      </c>
      <c r="D81" s="5" t="s">
        <v>2118</v>
      </c>
      <c r="E81" t="str">
        <f t="shared" si="6"/>
        <v>UPDATE [MAP].[T_TRANS_VENDOR] SET NEW_VENDOR_ID = 'V0080' WHERE LEGACY_VENDOR_ID = 'BAILEY' AND DATA_FOLDER_ID = 'sampl'</v>
      </c>
      <c r="F81" t="str">
        <f t="shared" si="7"/>
        <v>Changed</v>
      </c>
      <c r="G81" t="str">
        <f t="shared" si="8"/>
        <v>-</v>
      </c>
    </row>
    <row r="82" spans="1:7" x14ac:dyDescent="0.25">
      <c r="A82" s="2" t="s">
        <v>1</v>
      </c>
      <c r="B82" s="9" t="s">
        <v>119</v>
      </c>
      <c r="C82" t="s">
        <v>1121</v>
      </c>
      <c r="D82" s="5" t="s">
        <v>2119</v>
      </c>
      <c r="E82" t="str">
        <f t="shared" si="6"/>
        <v>UPDATE [MAP].[T_TRANS_VENDOR] SET NEW_VENDOR_ID = 'V0082' WHERE LEGACY_VENDOR_ID = 'BALCOINC' AND DATA_FOLDER_ID = 'sampl'</v>
      </c>
      <c r="F82" t="str">
        <f t="shared" si="7"/>
        <v>Changed</v>
      </c>
      <c r="G82" t="str">
        <f t="shared" si="8"/>
        <v>-</v>
      </c>
    </row>
    <row r="83" spans="1:7" x14ac:dyDescent="0.25">
      <c r="A83" s="2" t="s">
        <v>1</v>
      </c>
      <c r="B83" s="9" t="s">
        <v>120</v>
      </c>
      <c r="C83" t="s">
        <v>1122</v>
      </c>
      <c r="D83" s="5" t="s">
        <v>2120</v>
      </c>
      <c r="E83" t="str">
        <f t="shared" si="6"/>
        <v>UPDATE [MAP].[T_TRANS_VENDOR] SET NEW_VENDOR_ID = 'V0083' WHERE LEGACY_VENDOR_ID = 'BARKPAVE' AND DATA_FOLDER_ID = 'sampl'</v>
      </c>
      <c r="F83" t="str">
        <f t="shared" si="7"/>
        <v>Changed</v>
      </c>
      <c r="G83" t="str">
        <f t="shared" si="8"/>
        <v>-</v>
      </c>
    </row>
    <row r="84" spans="1:7" x14ac:dyDescent="0.25">
      <c r="A84" s="2" t="s">
        <v>1</v>
      </c>
      <c r="B84" s="9" t="s">
        <v>121</v>
      </c>
      <c r="C84" t="s">
        <v>1123</v>
      </c>
      <c r="D84" s="5" t="s">
        <v>2121</v>
      </c>
      <c r="E84" t="str">
        <f t="shared" si="6"/>
        <v>UPDATE [MAP].[T_TRANS_VENDOR] SET NEW_VENDOR_ID = 'V0084' WHERE LEGACY_VENDOR_ID = 'BARRETTS' AND DATA_FOLDER_ID = 'sampl'</v>
      </c>
      <c r="F84" t="str">
        <f t="shared" si="7"/>
        <v>Changed</v>
      </c>
      <c r="G84" t="str">
        <f t="shared" si="8"/>
        <v>-</v>
      </c>
    </row>
    <row r="85" spans="1:7" x14ac:dyDescent="0.25">
      <c r="A85" s="2" t="s">
        <v>1</v>
      </c>
      <c r="B85" s="9" t="s">
        <v>122</v>
      </c>
      <c r="C85" t="s">
        <v>1124</v>
      </c>
      <c r="D85" s="5" t="s">
        <v>2122</v>
      </c>
      <c r="E85" t="str">
        <f t="shared" si="6"/>
        <v>UPDATE [MAP].[T_TRANS_VENDOR] SET NEW_VENDOR_ID = 'V0085' WHERE LEGACY_VENDOR_ID = 'BARRYISETT' AND DATA_FOLDER_ID = 'sampl'</v>
      </c>
      <c r="F85" t="str">
        <f t="shared" si="7"/>
        <v>Changed</v>
      </c>
      <c r="G85" t="str">
        <f t="shared" si="8"/>
        <v>-</v>
      </c>
    </row>
    <row r="86" spans="1:7" x14ac:dyDescent="0.25">
      <c r="A86" s="2" t="s">
        <v>1</v>
      </c>
      <c r="B86" s="9" t="s">
        <v>123</v>
      </c>
      <c r="C86" t="s">
        <v>1125</v>
      </c>
      <c r="D86" s="5" t="s">
        <v>2123</v>
      </c>
      <c r="E86" t="str">
        <f t="shared" si="6"/>
        <v>UPDATE [MAP].[T_TRANS_VENDOR] SET NEW_VENDOR_ID = 'V0086' WHERE LEGACY_VENDOR_ID = 'BASELINE' AND DATA_FOLDER_ID = 'sampl'</v>
      </c>
      <c r="F86" t="str">
        <f t="shared" si="7"/>
        <v>Changed</v>
      </c>
      <c r="G86" t="str">
        <f t="shared" si="8"/>
        <v>-</v>
      </c>
    </row>
    <row r="87" spans="1:7" x14ac:dyDescent="0.25">
      <c r="A87" s="2" t="s">
        <v>1</v>
      </c>
      <c r="B87" s="9" t="s">
        <v>124</v>
      </c>
      <c r="C87" t="s">
        <v>1126</v>
      </c>
      <c r="D87" s="5" t="s">
        <v>2124</v>
      </c>
      <c r="E87" t="str">
        <f t="shared" si="6"/>
        <v>UPDATE [MAP].[T_TRANS_VENDOR] SET NEW_VENDOR_ID = 'V0087' WHERE LEGACY_VENDOR_ID = 'BASILE00' AND DATA_FOLDER_ID = 'sampl'</v>
      </c>
      <c r="F87" t="str">
        <f t="shared" si="7"/>
        <v>Changed</v>
      </c>
      <c r="G87" t="str">
        <f t="shared" si="8"/>
        <v>-</v>
      </c>
    </row>
    <row r="88" spans="1:7" x14ac:dyDescent="0.25">
      <c r="A88" s="2" t="s">
        <v>1</v>
      </c>
      <c r="B88" s="9" t="s">
        <v>125</v>
      </c>
      <c r="C88" t="s">
        <v>1127</v>
      </c>
      <c r="D88" s="5" t="s">
        <v>2125</v>
      </c>
      <c r="E88" t="str">
        <f t="shared" si="6"/>
        <v>UPDATE [MAP].[T_TRANS_VENDOR] SET NEW_VENDOR_ID = 'V0088' WHERE LEGACY_VENDOR_ID = 'BASSLERE' AND DATA_FOLDER_ID = 'sampl'</v>
      </c>
      <c r="F88" t="str">
        <f t="shared" si="7"/>
        <v>Changed</v>
      </c>
      <c r="G88" t="str">
        <f t="shared" si="8"/>
        <v>-</v>
      </c>
    </row>
    <row r="89" spans="1:7" x14ac:dyDescent="0.25">
      <c r="A89" s="2" t="s">
        <v>1</v>
      </c>
      <c r="B89" s="9" t="s">
        <v>126</v>
      </c>
      <c r="C89" t="s">
        <v>1128</v>
      </c>
      <c r="D89" s="5" t="s">
        <v>2126</v>
      </c>
      <c r="E89" t="str">
        <f t="shared" si="6"/>
        <v>UPDATE [MAP].[T_TRANS_VENDOR] SET NEW_VENDOR_ID = 'V0089' WHERE LEGACY_VENDOR_ID = 'BAUTSTUD' AND DATA_FOLDER_ID = 'sampl'</v>
      </c>
      <c r="F89" t="str">
        <f t="shared" si="7"/>
        <v>Changed</v>
      </c>
      <c r="G89" t="str">
        <f t="shared" si="8"/>
        <v>-</v>
      </c>
    </row>
    <row r="90" spans="1:7" x14ac:dyDescent="0.25">
      <c r="A90" s="2" t="s">
        <v>1</v>
      </c>
      <c r="B90" s="9" t="s">
        <v>127</v>
      </c>
      <c r="C90" t="s">
        <v>1129</v>
      </c>
      <c r="D90" s="5" t="s">
        <v>2127</v>
      </c>
      <c r="E90" t="str">
        <f t="shared" si="6"/>
        <v>UPDATE [MAP].[T_TRANS_VENDOR] SET NEW_VENDOR_ID = 'V0090' WHERE LEGACY_VENDOR_ID = 'BAYSHORE' AND DATA_FOLDER_ID = 'sampl'</v>
      </c>
      <c r="F90" t="str">
        <f t="shared" si="7"/>
        <v>Changed</v>
      </c>
      <c r="G90" t="str">
        <f t="shared" si="8"/>
        <v>-</v>
      </c>
    </row>
    <row r="91" spans="1:7" x14ac:dyDescent="0.25">
      <c r="A91" s="2" t="s">
        <v>1</v>
      </c>
      <c r="B91" s="9" t="s">
        <v>128</v>
      </c>
      <c r="C91" t="s">
        <v>1130</v>
      </c>
      <c r="D91" s="5" t="s">
        <v>2128</v>
      </c>
      <c r="E91" t="str">
        <f t="shared" si="6"/>
        <v>UPDATE [MAP].[T_TRANS_VENDOR] SET NEW_VENDOR_ID = 'V0091' WHERE LEGACY_VENDOR_ID = 'BBLIGHTG' AND DATA_FOLDER_ID = 'sampl'</v>
      </c>
      <c r="F91" t="str">
        <f t="shared" si="7"/>
        <v>Changed</v>
      </c>
      <c r="G91" t="str">
        <f t="shared" si="8"/>
        <v>-</v>
      </c>
    </row>
    <row r="92" spans="1:7" x14ac:dyDescent="0.25">
      <c r="A92" s="2" t="s">
        <v>1</v>
      </c>
      <c r="B92" s="9" t="s">
        <v>129</v>
      </c>
      <c r="C92" t="s">
        <v>1131</v>
      </c>
      <c r="D92" s="5" t="s">
        <v>2129</v>
      </c>
      <c r="E92" t="str">
        <f t="shared" si="6"/>
        <v>UPDATE [MAP].[T_TRANS_VENDOR] SET NEW_VENDOR_ID = 'V0092' WHERE LEGACY_VENDOR_ID = 'BCSUPPLY' AND DATA_FOLDER_ID = 'sampl'</v>
      </c>
      <c r="F92" t="str">
        <f t="shared" si="7"/>
        <v>Changed</v>
      </c>
      <c r="G92" t="str">
        <f t="shared" si="8"/>
        <v>-</v>
      </c>
    </row>
    <row r="93" spans="1:7" x14ac:dyDescent="0.25">
      <c r="A93" s="2" t="s">
        <v>1</v>
      </c>
      <c r="B93" s="9" t="s">
        <v>130</v>
      </c>
      <c r="C93" t="s">
        <v>1132</v>
      </c>
      <c r="D93" s="5" t="s">
        <v>2130</v>
      </c>
      <c r="E93" t="str">
        <f t="shared" si="6"/>
        <v>UPDATE [MAP].[T_TRANS_VENDOR] SET NEW_VENDOR_ID = 'V0093' WHERE LEGACY_VENDOR_ID = 'BEACHLAK' AND DATA_FOLDER_ID = 'sampl'</v>
      </c>
      <c r="F93" t="str">
        <f t="shared" si="7"/>
        <v>Changed</v>
      </c>
      <c r="G93" t="str">
        <f t="shared" si="8"/>
        <v>-</v>
      </c>
    </row>
    <row r="94" spans="1:7" x14ac:dyDescent="0.25">
      <c r="A94" s="2" t="s">
        <v>1</v>
      </c>
      <c r="B94" s="9" t="s">
        <v>131</v>
      </c>
      <c r="C94" t="s">
        <v>1133</v>
      </c>
      <c r="D94" s="5" t="s">
        <v>2131</v>
      </c>
      <c r="E94" t="str">
        <f t="shared" si="6"/>
        <v>UPDATE [MAP].[T_TRANS_VENDOR] SET NEW_VENDOR_ID = 'V0094' WHERE LEGACY_VENDOR_ID = 'BEACONBU' AND DATA_FOLDER_ID = 'sampl'</v>
      </c>
      <c r="F94" t="str">
        <f t="shared" si="7"/>
        <v>Changed</v>
      </c>
      <c r="G94" t="str">
        <f t="shared" si="8"/>
        <v>-</v>
      </c>
    </row>
    <row r="95" spans="1:7" x14ac:dyDescent="0.25">
      <c r="A95" s="2" t="s">
        <v>1</v>
      </c>
      <c r="B95" s="9" t="s">
        <v>132</v>
      </c>
      <c r="C95" t="s">
        <v>1134</v>
      </c>
      <c r="D95" s="5" t="s">
        <v>2132</v>
      </c>
      <c r="E95" t="str">
        <f t="shared" si="6"/>
        <v>UPDATE [MAP].[T_TRANS_VENDOR] SET NEW_VENDOR_ID = 'V0095' WHERE LEGACY_VENDOR_ID = 'BEAVERVA' AND DATA_FOLDER_ID = 'sampl'</v>
      </c>
      <c r="F95" t="str">
        <f t="shared" si="7"/>
        <v>Changed</v>
      </c>
      <c r="G95" t="str">
        <f t="shared" si="8"/>
        <v>-</v>
      </c>
    </row>
    <row r="96" spans="1:7" x14ac:dyDescent="0.25">
      <c r="A96" s="2" t="s">
        <v>1</v>
      </c>
      <c r="B96" s="9" t="s">
        <v>133</v>
      </c>
      <c r="C96" t="s">
        <v>1135</v>
      </c>
      <c r="D96" s="5" t="s">
        <v>2133</v>
      </c>
      <c r="E96" t="str">
        <f t="shared" si="6"/>
        <v>UPDATE [MAP].[T_TRANS_VENDOR] SET NEW_VENDOR_ID = 'V0096' WHERE LEGACY_VENDOR_ID = 'BEIELECT' AND DATA_FOLDER_ID = 'sampl'</v>
      </c>
      <c r="F96" t="str">
        <f t="shared" si="7"/>
        <v>Changed</v>
      </c>
      <c r="G96" t="str">
        <f t="shared" si="8"/>
        <v>-</v>
      </c>
    </row>
    <row r="97" spans="1:7" x14ac:dyDescent="0.25">
      <c r="A97" s="2" t="s">
        <v>1</v>
      </c>
      <c r="B97" s="9" t="s">
        <v>134</v>
      </c>
      <c r="C97" t="s">
        <v>1136</v>
      </c>
      <c r="D97" s="5" t="s">
        <v>2134</v>
      </c>
      <c r="E97" t="str">
        <f t="shared" si="6"/>
        <v>UPDATE [MAP].[T_TRANS_VENDOR] SET NEW_VENDOR_ID = 'V0097' WHERE LEGACY_VENDOR_ID = 'BELLMTLA' AND DATA_FOLDER_ID = 'sampl'</v>
      </c>
      <c r="F97" t="str">
        <f t="shared" si="7"/>
        <v>Changed</v>
      </c>
      <c r="G97" t="str">
        <f t="shared" si="8"/>
        <v>-</v>
      </c>
    </row>
    <row r="98" spans="1:7" x14ac:dyDescent="0.25">
      <c r="A98" s="2" t="s">
        <v>1</v>
      </c>
      <c r="B98" s="9" t="s">
        <v>135</v>
      </c>
      <c r="C98" t="s">
        <v>1137</v>
      </c>
      <c r="D98" s="5" t="s">
        <v>2135</v>
      </c>
      <c r="E98" t="str">
        <f t="shared" si="6"/>
        <v>UPDATE [MAP].[T_TRANS_VENDOR] SET NEW_VENDOR_ID = 'V0098' WHERE LEGACY_VENDOR_ID = 'BENCARDI' AND DATA_FOLDER_ID = 'sampl'</v>
      </c>
      <c r="F98" t="str">
        <f t="shared" si="7"/>
        <v>Changed</v>
      </c>
      <c r="G98" t="str">
        <f t="shared" si="8"/>
        <v>-</v>
      </c>
    </row>
    <row r="99" spans="1:7" x14ac:dyDescent="0.25">
      <c r="A99" s="2" t="s">
        <v>1</v>
      </c>
      <c r="B99" s="9" t="s">
        <v>136</v>
      </c>
      <c r="C99" t="s">
        <v>1138</v>
      </c>
      <c r="D99" s="5" t="s">
        <v>2136</v>
      </c>
      <c r="E99" t="str">
        <f t="shared" si="6"/>
        <v>UPDATE [MAP].[T_TRANS_VENDOR] SET NEW_VENDOR_ID = 'V0099' WHERE LEGACY_VENDOR_ID = 'BENDRUCKD' AND DATA_FOLDER_ID = 'sampl'</v>
      </c>
      <c r="F99" t="str">
        <f t="shared" si="7"/>
        <v>Changed</v>
      </c>
      <c r="G99" t="str">
        <f t="shared" si="8"/>
        <v>-</v>
      </c>
    </row>
    <row r="100" spans="1:7" x14ac:dyDescent="0.25">
      <c r="A100" s="2" t="s">
        <v>1</v>
      </c>
      <c r="B100" s="9" t="s">
        <v>137</v>
      </c>
      <c r="C100" t="s">
        <v>1139</v>
      </c>
      <c r="D100" s="5" t="s">
        <v>2137</v>
      </c>
      <c r="E100" t="str">
        <f t="shared" si="6"/>
        <v>UPDATE [MAP].[T_TRANS_VENDOR] SET NEW_VENDOR_ID = 'V0100' WHERE LEGACY_VENDOR_ID = 'BENTCOLL' AND DATA_FOLDER_ID = 'sampl'</v>
      </c>
      <c r="F100" t="str">
        <f t="shared" si="7"/>
        <v>Changed</v>
      </c>
      <c r="G100" t="str">
        <f t="shared" si="8"/>
        <v>-</v>
      </c>
    </row>
    <row r="101" spans="1:7" x14ac:dyDescent="0.25">
      <c r="A101" s="2" t="s">
        <v>1</v>
      </c>
      <c r="B101" s="9" t="s">
        <v>138</v>
      </c>
      <c r="C101" t="s">
        <v>1140</v>
      </c>
      <c r="D101" s="5" t="s">
        <v>2138</v>
      </c>
      <c r="E101" t="str">
        <f t="shared" si="6"/>
        <v>UPDATE [MAP].[T_TRANS_VENDOR] SET NEW_VENDOR_ID = 'V0101' WHERE LEGACY_VENDOR_ID = 'BERKELCO' AND DATA_FOLDER_ID = 'sampl'</v>
      </c>
      <c r="F101" t="str">
        <f t="shared" si="7"/>
        <v>Changed</v>
      </c>
      <c r="G101" t="str">
        <f t="shared" si="8"/>
        <v>-</v>
      </c>
    </row>
    <row r="102" spans="1:7" x14ac:dyDescent="0.25">
      <c r="A102" s="2" t="s">
        <v>1</v>
      </c>
      <c r="B102" s="9" t="s">
        <v>139</v>
      </c>
      <c r="C102" t="s">
        <v>1141</v>
      </c>
      <c r="D102" s="5" t="s">
        <v>2139</v>
      </c>
      <c r="E102" t="str">
        <f t="shared" si="6"/>
        <v>UPDATE [MAP].[T_TRANS_VENDOR] SET NEW_VENDOR_ID = 'V0102' WHERE LEGACY_VENDOR_ID = 'BERKELEY' AND DATA_FOLDER_ID = 'sampl'</v>
      </c>
      <c r="F102" t="str">
        <f t="shared" si="7"/>
        <v>Changed</v>
      </c>
      <c r="G102" t="str">
        <f t="shared" si="8"/>
        <v>-</v>
      </c>
    </row>
    <row r="103" spans="1:7" x14ac:dyDescent="0.25">
      <c r="A103" s="2" t="s">
        <v>1</v>
      </c>
      <c r="B103" s="9" t="s">
        <v>140</v>
      </c>
      <c r="C103" t="s">
        <v>1142</v>
      </c>
      <c r="D103" s="5" t="s">
        <v>2140</v>
      </c>
      <c r="E103" t="str">
        <f t="shared" si="6"/>
        <v>UPDATE [MAP].[T_TRANS_VENDOR] SET NEW_VENDOR_ID = 'V0103' WHERE LEGACY_VENDOR_ID = 'BERNINTE' AND DATA_FOLDER_ID = 'sampl'</v>
      </c>
      <c r="F103" t="str">
        <f t="shared" si="7"/>
        <v>Changed</v>
      </c>
      <c r="G103" t="str">
        <f t="shared" si="8"/>
        <v>-</v>
      </c>
    </row>
    <row r="104" spans="1:7" x14ac:dyDescent="0.25">
      <c r="A104" s="2" t="s">
        <v>1</v>
      </c>
      <c r="B104" s="9" t="s">
        <v>141</v>
      </c>
      <c r="C104" t="s">
        <v>1143</v>
      </c>
      <c r="D104" s="5" t="s">
        <v>2141</v>
      </c>
      <c r="E104" t="str">
        <f t="shared" si="6"/>
        <v>UPDATE [MAP].[T_TRANS_VENDOR] SET NEW_VENDOR_ID = 'V0104' WHERE LEGACY_VENDOR_ID = 'BETHALLE' AND DATA_FOLDER_ID = 'sampl'</v>
      </c>
      <c r="F104" t="str">
        <f t="shared" si="7"/>
        <v>Changed</v>
      </c>
      <c r="G104" t="str">
        <f t="shared" si="8"/>
        <v>-</v>
      </c>
    </row>
    <row r="105" spans="1:7" x14ac:dyDescent="0.25">
      <c r="A105" s="2" t="s">
        <v>1</v>
      </c>
      <c r="B105" s="9" t="s">
        <v>142</v>
      </c>
      <c r="C105" t="s">
        <v>1144</v>
      </c>
      <c r="D105" s="5" t="s">
        <v>2142</v>
      </c>
      <c r="E105" t="str">
        <f t="shared" si="6"/>
        <v>UPDATE [MAP].[T_TRANS_VENDOR] SET NEW_VENDOR_ID = 'V0105' WHERE LEGACY_VENDOR_ID = 'BETTYMIL' AND DATA_FOLDER_ID = 'sampl'</v>
      </c>
      <c r="F105" t="str">
        <f t="shared" si="7"/>
        <v>Changed</v>
      </c>
      <c r="G105" t="str">
        <f t="shared" si="8"/>
        <v>-</v>
      </c>
    </row>
    <row r="106" spans="1:7" x14ac:dyDescent="0.25">
      <c r="A106" s="2" t="s">
        <v>1</v>
      </c>
      <c r="B106" s="9" t="s">
        <v>143</v>
      </c>
      <c r="C106" t="s">
        <v>1145</v>
      </c>
      <c r="D106" s="5" t="s">
        <v>2143</v>
      </c>
      <c r="E106" t="str">
        <f t="shared" si="6"/>
        <v>UPDATE [MAP].[T_TRANS_VENDOR] SET NEW_VENDOR_ID = 'V0106' WHERE LEGACY_VENDOR_ID = 'BIANCA' AND DATA_FOLDER_ID = 'sampl'</v>
      </c>
      <c r="F106" t="str">
        <f t="shared" si="7"/>
        <v>Changed</v>
      </c>
      <c r="G106" t="str">
        <f t="shared" si="8"/>
        <v>-</v>
      </c>
    </row>
    <row r="107" spans="1:7" x14ac:dyDescent="0.25">
      <c r="A107" s="2" t="s">
        <v>1</v>
      </c>
      <c r="B107" s="9" t="s">
        <v>144</v>
      </c>
      <c r="C107" t="s">
        <v>1146</v>
      </c>
      <c r="D107" s="5" t="s">
        <v>2144</v>
      </c>
      <c r="E107" t="str">
        <f t="shared" si="6"/>
        <v>UPDATE [MAP].[T_TRANS_VENDOR] SET NEW_VENDOR_ID = 'V0107' WHERE LEGACY_VENDOR_ID = 'BIDDINGE' AND DATA_FOLDER_ID = 'sampl'</v>
      </c>
      <c r="F107" t="str">
        <f t="shared" si="7"/>
        <v>Changed</v>
      </c>
      <c r="G107" t="str">
        <f t="shared" si="8"/>
        <v>-</v>
      </c>
    </row>
    <row r="108" spans="1:7" x14ac:dyDescent="0.25">
      <c r="A108" s="2" t="s">
        <v>1</v>
      </c>
      <c r="B108" s="9" t="s">
        <v>145</v>
      </c>
      <c r="C108" t="s">
        <v>1147</v>
      </c>
      <c r="D108" s="5" t="s">
        <v>2145</v>
      </c>
      <c r="E108" t="str">
        <f t="shared" si="6"/>
        <v>UPDATE [MAP].[T_TRANS_VENDOR] SET NEW_VENDOR_ID = 'V0108' WHERE LEGACY_VENDOR_ID = 'BILLBARRY' AND DATA_FOLDER_ID = 'sampl'</v>
      </c>
      <c r="F108" t="str">
        <f t="shared" si="7"/>
        <v>Changed</v>
      </c>
      <c r="G108" t="str">
        <f t="shared" si="8"/>
        <v>-</v>
      </c>
    </row>
    <row r="109" spans="1:7" x14ac:dyDescent="0.25">
      <c r="A109" s="2" t="s">
        <v>1</v>
      </c>
      <c r="B109" s="9" t="s">
        <v>146</v>
      </c>
      <c r="C109" t="s">
        <v>1148</v>
      </c>
      <c r="D109" s="5" t="s">
        <v>2146</v>
      </c>
      <c r="E109" t="str">
        <f t="shared" si="6"/>
        <v>UPDATE [MAP].[T_TRANS_VENDOR] SET NEW_VENDOR_ID = 'V0109' WHERE LEGACY_VENDOR_ID = 'BIROSUTI' AND DATA_FOLDER_ID = 'sampl'</v>
      </c>
      <c r="F109" t="str">
        <f t="shared" si="7"/>
        <v>Changed</v>
      </c>
      <c r="G109" t="str">
        <f t="shared" si="8"/>
        <v>-</v>
      </c>
    </row>
    <row r="110" spans="1:7" x14ac:dyDescent="0.25">
      <c r="A110" s="2" t="s">
        <v>1</v>
      </c>
      <c r="B110" s="9" t="s">
        <v>147</v>
      </c>
      <c r="C110" t="s">
        <v>1149</v>
      </c>
      <c r="D110" s="5" t="s">
        <v>2147</v>
      </c>
      <c r="E110" t="str">
        <f t="shared" si="6"/>
        <v>UPDATE [MAP].[T_TRANS_VENDOR] SET NEW_VENDOR_ID = 'V0110' WHERE LEGACY_VENDOR_ID = 'BLAIRPAR' AND DATA_FOLDER_ID = 'sampl'</v>
      </c>
      <c r="F110" t="str">
        <f t="shared" si="7"/>
        <v>Changed</v>
      </c>
      <c r="G110" t="str">
        <f t="shared" si="8"/>
        <v>-</v>
      </c>
    </row>
    <row r="111" spans="1:7" x14ac:dyDescent="0.25">
      <c r="A111" s="2" t="s">
        <v>1</v>
      </c>
      <c r="B111" s="9" t="s">
        <v>148</v>
      </c>
      <c r="C111" t="s">
        <v>1150</v>
      </c>
      <c r="D111" s="5" t="s">
        <v>2148</v>
      </c>
      <c r="E111" t="str">
        <f t="shared" si="6"/>
        <v>UPDATE [MAP].[T_TRANS_VENDOR] SET NEW_VENDOR_ID = 'V0111' WHERE LEGACY_VENDOR_ID = 'BLUERIDL' AND DATA_FOLDER_ID = 'sampl'</v>
      </c>
      <c r="F111" t="str">
        <f t="shared" si="7"/>
        <v>Changed</v>
      </c>
      <c r="G111" t="str">
        <f t="shared" si="8"/>
        <v>-</v>
      </c>
    </row>
    <row r="112" spans="1:7" x14ac:dyDescent="0.25">
      <c r="A112" s="2" t="s">
        <v>1</v>
      </c>
      <c r="B112" s="9" t="s">
        <v>149</v>
      </c>
      <c r="C112" t="s">
        <v>1151</v>
      </c>
      <c r="D112" s="5" t="s">
        <v>2149</v>
      </c>
      <c r="E112" t="str">
        <f t="shared" si="6"/>
        <v>UPDATE [MAP].[T_TRANS_VENDOR] SET NEW_VENDOR_ID = 'V0112' WHERE LEGACY_VENDOR_ID = 'BMCOFFIC' AND DATA_FOLDER_ID = 'sampl'</v>
      </c>
      <c r="F112" t="str">
        <f t="shared" si="7"/>
        <v>Changed</v>
      </c>
      <c r="G112" t="str">
        <f t="shared" si="8"/>
        <v>-</v>
      </c>
    </row>
    <row r="113" spans="1:7" x14ac:dyDescent="0.25">
      <c r="A113" s="2" t="s">
        <v>1</v>
      </c>
      <c r="B113" s="9" t="s">
        <v>150</v>
      </c>
      <c r="C113" t="s">
        <v>1152</v>
      </c>
      <c r="D113" s="5" t="s">
        <v>2150</v>
      </c>
      <c r="E113" t="str">
        <f t="shared" si="6"/>
        <v>UPDATE [MAP].[T_TRANS_VENDOR] SET NEW_VENDOR_ID = 'V0113' WHERE LEGACY_VENDOR_ID = 'BORLIEMECH' AND DATA_FOLDER_ID = 'sampl'</v>
      </c>
      <c r="F113" t="str">
        <f t="shared" si="7"/>
        <v>Changed</v>
      </c>
      <c r="G113" t="str">
        <f t="shared" si="8"/>
        <v>-</v>
      </c>
    </row>
    <row r="114" spans="1:7" x14ac:dyDescent="0.25">
      <c r="A114" s="2" t="s">
        <v>1</v>
      </c>
      <c r="B114" s="9" t="s">
        <v>151</v>
      </c>
      <c r="C114" t="s">
        <v>1153</v>
      </c>
      <c r="D114" s="5" t="s">
        <v>2151</v>
      </c>
      <c r="E114" t="str">
        <f t="shared" si="6"/>
        <v>UPDATE [MAP].[T_TRANS_VENDOR] SET NEW_VENDOR_ID = 'V0114' WHERE LEGACY_VENDOR_ID = 'BOROARCH' AND DATA_FOLDER_ID = 'sampl'</v>
      </c>
      <c r="F114" t="str">
        <f t="shared" si="7"/>
        <v>Changed</v>
      </c>
      <c r="G114" t="str">
        <f t="shared" si="8"/>
        <v>-</v>
      </c>
    </row>
    <row r="115" spans="1:7" x14ac:dyDescent="0.25">
      <c r="A115" s="2" t="s">
        <v>1</v>
      </c>
      <c r="B115" s="9" t="s">
        <v>152</v>
      </c>
      <c r="C115" t="s">
        <v>1154</v>
      </c>
      <c r="D115" s="5" t="s">
        <v>2152</v>
      </c>
      <c r="E115" t="str">
        <f t="shared" si="6"/>
        <v>UPDATE [MAP].[T_TRANS_VENDOR] SET NEW_VENDOR_ID = 'V0115' WHERE LEGACY_VENDOR_ID = 'BOROMOOSIC' AND DATA_FOLDER_ID = 'sampl'</v>
      </c>
      <c r="F115" t="str">
        <f t="shared" si="7"/>
        <v>Changed</v>
      </c>
      <c r="G115" t="str">
        <f t="shared" si="8"/>
        <v>-</v>
      </c>
    </row>
    <row r="116" spans="1:7" x14ac:dyDescent="0.25">
      <c r="A116" s="2" t="s">
        <v>1</v>
      </c>
      <c r="B116" s="9" t="s">
        <v>153</v>
      </c>
      <c r="C116" t="s">
        <v>1155</v>
      </c>
      <c r="D116" s="5" t="s">
        <v>2153</v>
      </c>
      <c r="E116" t="str">
        <f t="shared" si="6"/>
        <v>UPDATE [MAP].[T_TRANS_VENDOR] SET NEW_VENDOR_ID = 'V0116' WHERE LEGACY_VENDOR_ID = 'BORTONLA' AND DATA_FOLDER_ID = 'sampl'</v>
      </c>
      <c r="F116" t="str">
        <f t="shared" si="7"/>
        <v>Changed</v>
      </c>
      <c r="G116" t="str">
        <f t="shared" si="8"/>
        <v>-</v>
      </c>
    </row>
    <row r="117" spans="1:7" x14ac:dyDescent="0.25">
      <c r="A117" s="2" t="s">
        <v>1</v>
      </c>
      <c r="B117" s="9" t="s">
        <v>154</v>
      </c>
      <c r="C117" t="s">
        <v>1156</v>
      </c>
      <c r="D117" s="5" t="s">
        <v>2154</v>
      </c>
      <c r="E117" t="str">
        <f t="shared" si="6"/>
        <v>UPDATE [MAP].[T_TRANS_VENDOR] SET NEW_VENDOR_ID = 'V0117' WHERE LEGACY_VENDOR_ID = 'BOWERINC' AND DATA_FOLDER_ID = 'sampl'</v>
      </c>
      <c r="F117" t="str">
        <f t="shared" si="7"/>
        <v>Changed</v>
      </c>
      <c r="G117" t="str">
        <f t="shared" si="8"/>
        <v>-</v>
      </c>
    </row>
    <row r="118" spans="1:7" x14ac:dyDescent="0.25">
      <c r="A118" s="2" t="s">
        <v>1</v>
      </c>
      <c r="B118" s="9" t="s">
        <v>155</v>
      </c>
      <c r="C118" t="s">
        <v>1157</v>
      </c>
      <c r="D118" s="5" t="s">
        <v>2155</v>
      </c>
      <c r="E118" t="str">
        <f t="shared" si="6"/>
        <v>UPDATE [MAP].[T_TRANS_VENDOR] SET NEW_VENDOR_ID = 'V0118' WHERE LEGACY_VENDOR_ID = 'BOYSGIRL' AND DATA_FOLDER_ID = 'sampl'</v>
      </c>
      <c r="F118" t="str">
        <f t="shared" si="7"/>
        <v>Changed</v>
      </c>
      <c r="G118" t="str">
        <f t="shared" si="8"/>
        <v>-</v>
      </c>
    </row>
    <row r="119" spans="1:7" x14ac:dyDescent="0.25">
      <c r="A119" s="2" t="s">
        <v>1</v>
      </c>
      <c r="B119" s="9" t="s">
        <v>156</v>
      </c>
      <c r="C119" t="s">
        <v>1158</v>
      </c>
      <c r="D119" s="5" t="s">
        <v>2156</v>
      </c>
      <c r="E119" t="str">
        <f t="shared" si="6"/>
        <v>UPDATE [MAP].[T_TRANS_VENDOR] SET NEW_VENDOR_ID = 'V0119' WHERE LEGACY_VENDOR_ID = 'BRENNANE' AND DATA_FOLDER_ID = 'sampl'</v>
      </c>
      <c r="F119" t="str">
        <f t="shared" si="7"/>
        <v>Changed</v>
      </c>
      <c r="G119" t="str">
        <f t="shared" si="8"/>
        <v>-</v>
      </c>
    </row>
    <row r="120" spans="1:7" x14ac:dyDescent="0.25">
      <c r="A120" s="2" t="s">
        <v>1</v>
      </c>
      <c r="B120" s="9" t="s">
        <v>157</v>
      </c>
      <c r="C120" t="s">
        <v>1159</v>
      </c>
      <c r="D120" s="5" t="s">
        <v>2157</v>
      </c>
      <c r="E120" t="str">
        <f t="shared" si="6"/>
        <v>UPDATE [MAP].[T_TRANS_VENDOR] SET NEW_VENDOR_ID = 'V0120' WHERE LEGACY_VENDOR_ID = 'BRICKS&amp;STO' AND DATA_FOLDER_ID = 'sampl'</v>
      </c>
      <c r="F120" t="str">
        <f t="shared" si="7"/>
        <v>Changed</v>
      </c>
      <c r="G120" t="str">
        <f t="shared" si="8"/>
        <v>-</v>
      </c>
    </row>
    <row r="121" spans="1:7" x14ac:dyDescent="0.25">
      <c r="A121" s="2" t="s">
        <v>1</v>
      </c>
      <c r="B121" s="9" t="s">
        <v>158</v>
      </c>
      <c r="C121" t="s">
        <v>1160</v>
      </c>
      <c r="D121" s="5" t="s">
        <v>2158</v>
      </c>
      <c r="E121" t="str">
        <f t="shared" si="6"/>
        <v>UPDATE [MAP].[T_TRANS_VENDOR] SET NEW_VENDOR_ID = 'V0121' WHERE LEGACY_VENDOR_ID = 'BROCKASS' AND DATA_FOLDER_ID = 'sampl'</v>
      </c>
      <c r="F121" t="str">
        <f t="shared" si="7"/>
        <v>Changed</v>
      </c>
      <c r="G121" t="str">
        <f t="shared" si="8"/>
        <v>-</v>
      </c>
    </row>
    <row r="122" spans="1:7" x14ac:dyDescent="0.25">
      <c r="A122" s="2" t="s">
        <v>1</v>
      </c>
      <c r="B122" s="9" t="s">
        <v>159</v>
      </c>
      <c r="C122" t="s">
        <v>1161</v>
      </c>
      <c r="D122" s="5" t="s">
        <v>2159</v>
      </c>
      <c r="E122" t="str">
        <f t="shared" si="6"/>
        <v>UPDATE [MAP].[T_TRANS_VENDOR] SET NEW_VENDOR_ID = 'V0122' WHERE LEGACY_VENDOR_ID = 'BROJACKL' AND DATA_FOLDER_ID = 'sampl'</v>
      </c>
      <c r="F122" t="str">
        <f t="shared" si="7"/>
        <v>Changed</v>
      </c>
      <c r="G122" t="str">
        <f t="shared" si="8"/>
        <v>-</v>
      </c>
    </row>
    <row r="123" spans="1:7" x14ac:dyDescent="0.25">
      <c r="A123" s="2" t="s">
        <v>1</v>
      </c>
      <c r="B123" s="9" t="s">
        <v>160</v>
      </c>
      <c r="C123" t="s">
        <v>1162</v>
      </c>
      <c r="D123" s="5" t="s">
        <v>2160</v>
      </c>
      <c r="E123" t="str">
        <f t="shared" si="6"/>
        <v>UPDATE [MAP].[T_TRANS_VENDOR] SET NEW_VENDOR_ID = 'V0123' WHERE LEGACY_VENDOR_ID = 'BROWNDAUB' AND DATA_FOLDER_ID = 'sampl'</v>
      </c>
      <c r="F123" t="str">
        <f t="shared" si="7"/>
        <v>Changed</v>
      </c>
      <c r="G123" t="str">
        <f t="shared" si="8"/>
        <v>-</v>
      </c>
    </row>
    <row r="124" spans="1:7" x14ac:dyDescent="0.25">
      <c r="A124" s="2" t="s">
        <v>1</v>
      </c>
      <c r="B124" s="9" t="s">
        <v>161</v>
      </c>
      <c r="C124" t="s">
        <v>1163</v>
      </c>
      <c r="D124" s="5" t="s">
        <v>2161</v>
      </c>
      <c r="E124" t="str">
        <f t="shared" si="6"/>
        <v>UPDATE [MAP].[T_TRANS_VENDOR] SET NEW_VENDOR_ID = 'V0124' WHERE LEGACY_VENDOR_ID = 'BRUCELLI' AND DATA_FOLDER_ID = 'sampl'</v>
      </c>
      <c r="F124" t="str">
        <f t="shared" si="7"/>
        <v>Changed</v>
      </c>
      <c r="G124" t="str">
        <f t="shared" si="8"/>
        <v>-</v>
      </c>
    </row>
    <row r="125" spans="1:7" x14ac:dyDescent="0.25">
      <c r="A125" s="2" t="s">
        <v>1</v>
      </c>
      <c r="B125" s="9" t="s">
        <v>162</v>
      </c>
      <c r="C125" t="s">
        <v>1164</v>
      </c>
      <c r="D125" s="5" t="s">
        <v>2162</v>
      </c>
      <c r="E125" t="str">
        <f t="shared" si="6"/>
        <v>UPDATE [MAP].[T_TRANS_VENDOR] SET NEW_VENDOR_ID = 'V0125' WHERE LEGACY_VENDOR_ID = 'BRUNSONI' AND DATA_FOLDER_ID = 'sampl'</v>
      </c>
      <c r="F125" t="str">
        <f t="shared" si="7"/>
        <v>Changed</v>
      </c>
      <c r="G125" t="str">
        <f t="shared" si="8"/>
        <v>-</v>
      </c>
    </row>
    <row r="126" spans="1:7" x14ac:dyDescent="0.25">
      <c r="A126" s="2" t="s">
        <v>1</v>
      </c>
      <c r="B126" s="9" t="s">
        <v>163</v>
      </c>
      <c r="C126" t="s">
        <v>1165</v>
      </c>
      <c r="D126" s="5" t="s">
        <v>2163</v>
      </c>
      <c r="E126" t="str">
        <f t="shared" si="6"/>
        <v>UPDATE [MAP].[T_TRANS_VENDOR] SET NEW_VENDOR_ID = 'V0126' WHERE LEGACY_VENDOR_ID = 'BUDGETMA' AND DATA_FOLDER_ID = 'sampl'</v>
      </c>
      <c r="F126" t="str">
        <f t="shared" si="7"/>
        <v>Changed</v>
      </c>
      <c r="G126" t="str">
        <f t="shared" si="8"/>
        <v>-</v>
      </c>
    </row>
    <row r="127" spans="1:7" x14ac:dyDescent="0.25">
      <c r="A127" s="2" t="s">
        <v>1</v>
      </c>
      <c r="B127" s="9" t="s">
        <v>164</v>
      </c>
      <c r="C127" t="s">
        <v>1166</v>
      </c>
      <c r="D127" s="5" t="s">
        <v>2164</v>
      </c>
      <c r="E127" t="str">
        <f t="shared" si="6"/>
        <v>UPDATE [MAP].[T_TRANS_VENDOR] SET NEW_VENDOR_ID = 'V0127' WHERE LEGACY_VENDOR_ID = 'BUFFALOA' AND DATA_FOLDER_ID = 'sampl'</v>
      </c>
      <c r="F127" t="str">
        <f t="shared" si="7"/>
        <v>Changed</v>
      </c>
      <c r="G127" t="str">
        <f t="shared" si="8"/>
        <v>-</v>
      </c>
    </row>
    <row r="128" spans="1:7" x14ac:dyDescent="0.25">
      <c r="A128" s="2" t="s">
        <v>1</v>
      </c>
      <c r="B128" s="9" t="s">
        <v>165</v>
      </c>
      <c r="C128" t="s">
        <v>1167</v>
      </c>
      <c r="D128" s="5" t="s">
        <v>2165</v>
      </c>
      <c r="E128" t="str">
        <f t="shared" si="6"/>
        <v>UPDATE [MAP].[T_TRANS_VENDOR] SET NEW_VENDOR_ID = 'V0128' WHERE LEGACY_VENDOR_ID = 'BUILDFIR' AND DATA_FOLDER_ID = 'sampl'</v>
      </c>
      <c r="F128" t="str">
        <f t="shared" si="7"/>
        <v>Changed</v>
      </c>
      <c r="G128" t="str">
        <f t="shared" si="8"/>
        <v>-</v>
      </c>
    </row>
    <row r="129" spans="1:7" x14ac:dyDescent="0.25">
      <c r="A129" s="2" t="s">
        <v>1</v>
      </c>
      <c r="B129" s="9" t="s">
        <v>166</v>
      </c>
      <c r="C129" t="s">
        <v>1168</v>
      </c>
      <c r="D129" s="5" t="s">
        <v>2166</v>
      </c>
      <c r="E129" t="str">
        <f t="shared" si="6"/>
        <v>UPDATE [MAP].[T_TRANS_VENDOR] SET NEW_VENDOR_ID = 'V0129' WHERE LEGACY_VENDOR_ID = 'BUILDOOR' AND DATA_FOLDER_ID = 'sampl'</v>
      </c>
      <c r="F129" t="str">
        <f t="shared" si="7"/>
        <v>Changed</v>
      </c>
      <c r="G129" t="str">
        <f t="shared" si="8"/>
        <v>-</v>
      </c>
    </row>
    <row r="130" spans="1:7" x14ac:dyDescent="0.25">
      <c r="A130" s="2" t="s">
        <v>1</v>
      </c>
      <c r="B130" s="9" t="s">
        <v>167</v>
      </c>
      <c r="C130" t="s">
        <v>1169</v>
      </c>
      <c r="D130" s="5" t="s">
        <v>2167</v>
      </c>
      <c r="E130" t="str">
        <f t="shared" si="6"/>
        <v>UPDATE [MAP].[T_TRANS_VENDOR] SET NEW_VENDOR_ID = 'V0130' WHERE LEGACY_VENDOR_ID = 'BUILDPOINT' AND DATA_FOLDER_ID = 'sampl'</v>
      </c>
      <c r="F130" t="str">
        <f t="shared" si="7"/>
        <v>Changed</v>
      </c>
      <c r="G130" t="str">
        <f t="shared" si="8"/>
        <v>-</v>
      </c>
    </row>
    <row r="131" spans="1:7" x14ac:dyDescent="0.25">
      <c r="A131" s="2" t="s">
        <v>1</v>
      </c>
      <c r="B131" s="9" t="s">
        <v>168</v>
      </c>
      <c r="C131" t="s">
        <v>1170</v>
      </c>
      <c r="D131" s="5" t="s">
        <v>2168</v>
      </c>
      <c r="E131" t="str">
        <f t="shared" si="6"/>
        <v>UPDATE [MAP].[T_TRANS_VENDOR] SET NEW_VENDOR_ID = 'V0131' WHERE LEGACY_VENDOR_ID = 'BUILSUPP' AND DATA_FOLDER_ID = 'sampl'</v>
      </c>
      <c r="F131" t="str">
        <f t="shared" si="7"/>
        <v>Changed</v>
      </c>
      <c r="G131" t="str">
        <f t="shared" si="8"/>
        <v>-</v>
      </c>
    </row>
    <row r="132" spans="1:7" x14ac:dyDescent="0.25">
      <c r="A132" s="2" t="s">
        <v>1</v>
      </c>
      <c r="B132" s="9" t="s">
        <v>169</v>
      </c>
      <c r="C132" t="s">
        <v>1171</v>
      </c>
      <c r="D132" s="5" t="s">
        <v>2169</v>
      </c>
      <c r="E132" t="str">
        <f t="shared" si="6"/>
        <v>UPDATE [MAP].[T_TRANS_VENDOR] SET NEW_VENDOR_ID = 'V0132' WHERE LEGACY_VENDOR_ID = 'BULLDOGM' AND DATA_FOLDER_ID = 'sampl'</v>
      </c>
      <c r="F132" t="str">
        <f t="shared" si="7"/>
        <v>Changed</v>
      </c>
      <c r="G132" t="str">
        <f t="shared" si="8"/>
        <v>-</v>
      </c>
    </row>
    <row r="133" spans="1:7" x14ac:dyDescent="0.25">
      <c r="A133" s="2" t="s">
        <v>1</v>
      </c>
      <c r="B133" s="9" t="s">
        <v>170</v>
      </c>
      <c r="C133" t="s">
        <v>1172</v>
      </c>
      <c r="D133" s="5" t="s">
        <v>2170</v>
      </c>
      <c r="E133" t="str">
        <f t="shared" si="6"/>
        <v>UPDATE [MAP].[T_TRANS_VENDOR] SET NEW_VENDOR_ID = 'V0133' WHERE LEGACY_VENDOR_ID = 'BURANICH' AND DATA_FOLDER_ID = 'sampl'</v>
      </c>
      <c r="F133" t="str">
        <f t="shared" si="7"/>
        <v>Changed</v>
      </c>
      <c r="G133" t="str">
        <f t="shared" si="8"/>
        <v>-</v>
      </c>
    </row>
    <row r="134" spans="1:7" x14ac:dyDescent="0.25">
      <c r="A134" s="2" t="s">
        <v>1</v>
      </c>
      <c r="B134" s="9" t="s">
        <v>171</v>
      </c>
      <c r="C134" t="s">
        <v>1173</v>
      </c>
      <c r="D134" s="5" t="s">
        <v>2171</v>
      </c>
      <c r="E134" t="str">
        <f t="shared" si="6"/>
        <v>UPDATE [MAP].[T_TRANS_VENDOR] SET NEW_VENDOR_ID = 'V0134' WHERE LEGACY_VENDOR_ID = 'BUREAUVE' AND DATA_FOLDER_ID = 'sampl'</v>
      </c>
      <c r="F134" t="str">
        <f t="shared" si="7"/>
        <v>Changed</v>
      </c>
      <c r="G134" t="str">
        <f t="shared" si="8"/>
        <v>-</v>
      </c>
    </row>
    <row r="135" spans="1:7" x14ac:dyDescent="0.25">
      <c r="A135" s="2" t="s">
        <v>1</v>
      </c>
      <c r="B135" s="9" t="s">
        <v>172</v>
      </c>
      <c r="C135" t="s">
        <v>1174</v>
      </c>
      <c r="D135" s="5" t="s">
        <v>2172</v>
      </c>
      <c r="E135" t="str">
        <f t="shared" si="6"/>
        <v>UPDATE [MAP].[T_TRANS_VENDOR] SET NEW_VENDOR_ID = 'V0135' WHERE LEGACY_VENDOR_ID = 'BURKETRU' AND DATA_FOLDER_ID = 'sampl'</v>
      </c>
      <c r="F135" t="str">
        <f t="shared" si="7"/>
        <v>Changed</v>
      </c>
      <c r="G135" t="str">
        <f t="shared" si="8"/>
        <v>-</v>
      </c>
    </row>
    <row r="136" spans="1:7" x14ac:dyDescent="0.25">
      <c r="A136" s="2" t="s">
        <v>1</v>
      </c>
      <c r="B136" s="9" t="s">
        <v>173</v>
      </c>
      <c r="C136" t="s">
        <v>1175</v>
      </c>
      <c r="D136" s="5" t="s">
        <v>2173</v>
      </c>
      <c r="E136" t="str">
        <f t="shared" si="6"/>
        <v>UPDATE [MAP].[T_TRANS_VENDOR] SET NEW_VENDOR_ID = 'V0136' WHERE LEGACY_VENDOR_ID = 'BUSBUILD' AND DATA_FOLDER_ID = 'sampl'</v>
      </c>
      <c r="F136" t="str">
        <f t="shared" si="7"/>
        <v>Changed</v>
      </c>
      <c r="G136" t="str">
        <f t="shared" si="8"/>
        <v>-</v>
      </c>
    </row>
    <row r="137" spans="1:7" x14ac:dyDescent="0.25">
      <c r="A137" s="2" t="s">
        <v>1</v>
      </c>
      <c r="B137" s="9" t="s">
        <v>174</v>
      </c>
      <c r="C137" t="s">
        <v>1176</v>
      </c>
      <c r="D137" s="5" t="s">
        <v>2174</v>
      </c>
      <c r="E137" t="str">
        <f t="shared" si="6"/>
        <v>UPDATE [MAP].[T_TRANS_VENDOR] SET NEW_VENDOR_ID = 'V0137' WHERE LEGACY_VENDOR_ID = 'BUTTONWO' AND DATA_FOLDER_ID = 'sampl'</v>
      </c>
      <c r="F137" t="str">
        <f t="shared" si="7"/>
        <v>Changed</v>
      </c>
      <c r="G137" t="str">
        <f t="shared" si="8"/>
        <v>-</v>
      </c>
    </row>
    <row r="138" spans="1:7" x14ac:dyDescent="0.25">
      <c r="A138" s="2" t="s">
        <v>1</v>
      </c>
      <c r="B138" s="9" t="s">
        <v>175</v>
      </c>
      <c r="C138" t="s">
        <v>1177</v>
      </c>
      <c r="D138" s="5" t="s">
        <v>2175</v>
      </c>
      <c r="E138" t="str">
        <f t="shared" si="6"/>
        <v>UPDATE [MAP].[T_TRANS_VENDOR] SET NEW_VENDOR_ID = 'V0138' WHERE LEGACY_VENDOR_ID = 'BUTZENTE' AND DATA_FOLDER_ID = 'sampl'</v>
      </c>
      <c r="F138" t="str">
        <f t="shared" si="7"/>
        <v>Changed</v>
      </c>
      <c r="G138" t="str">
        <f t="shared" si="8"/>
        <v>-</v>
      </c>
    </row>
    <row r="139" spans="1:7" x14ac:dyDescent="0.25">
      <c r="A139" s="2" t="s">
        <v>1</v>
      </c>
      <c r="B139" s="9" t="s">
        <v>176</v>
      </c>
      <c r="C139" t="s">
        <v>1178</v>
      </c>
      <c r="D139" s="5" t="s">
        <v>2176</v>
      </c>
      <c r="E139" t="str">
        <f t="shared" si="6"/>
        <v>UPDATE [MAP].[T_TRANS_VENDOR] SET NEW_VENDOR_ID = 'V0139' WHERE LEGACY_VENDOR_ID = 'CALVIN' AND DATA_FOLDER_ID = 'sampl'</v>
      </c>
      <c r="F139" t="str">
        <f t="shared" si="7"/>
        <v>Changed</v>
      </c>
      <c r="G139" t="str">
        <f t="shared" si="8"/>
        <v>-</v>
      </c>
    </row>
    <row r="140" spans="1:7" x14ac:dyDescent="0.25">
      <c r="A140" s="2" t="s">
        <v>1</v>
      </c>
      <c r="B140" s="9" t="s">
        <v>177</v>
      </c>
      <c r="C140" t="s">
        <v>1179</v>
      </c>
      <c r="D140" s="5" t="s">
        <v>2177</v>
      </c>
      <c r="E140" t="str">
        <f t="shared" si="6"/>
        <v>UPDATE [MAP].[T_TRANS_VENDOR] SET NEW_VENDOR_ID = 'V0140' WHERE LEGACY_VENDOR_ID = 'CAPBUILD' AND DATA_FOLDER_ID = 'sampl'</v>
      </c>
      <c r="F140" t="str">
        <f t="shared" si="7"/>
        <v>Changed</v>
      </c>
      <c r="G140" t="str">
        <f t="shared" si="8"/>
        <v>-</v>
      </c>
    </row>
    <row r="141" spans="1:7" x14ac:dyDescent="0.25">
      <c r="A141" s="2" t="s">
        <v>1</v>
      </c>
      <c r="B141" s="9" t="s">
        <v>178</v>
      </c>
      <c r="C141" t="s">
        <v>1180</v>
      </c>
      <c r="D141" s="5" t="s">
        <v>2178</v>
      </c>
      <c r="E141" t="str">
        <f t="shared" si="6"/>
        <v>UPDATE [MAP].[T_TRANS_VENDOR] SET NEW_VENDOR_ID = 'V0141' WHERE LEGACY_VENDOR_ID = 'CAPITALONE' AND DATA_FOLDER_ID = 'sampl'</v>
      </c>
      <c r="F141" t="str">
        <f t="shared" si="7"/>
        <v>Changed</v>
      </c>
      <c r="G141" t="str">
        <f t="shared" si="8"/>
        <v>-</v>
      </c>
    </row>
    <row r="142" spans="1:7" x14ac:dyDescent="0.25">
      <c r="A142" s="2" t="s">
        <v>1</v>
      </c>
      <c r="B142" s="9" t="s">
        <v>179</v>
      </c>
      <c r="C142" t="s">
        <v>1181</v>
      </c>
      <c r="D142" s="5" t="s">
        <v>2179</v>
      </c>
      <c r="E142" t="str">
        <f t="shared" si="6"/>
        <v>UPDATE [MAP].[T_TRANS_VENDOR] SET NEW_VENDOR_ID = 'V0142' WHERE LEGACY_VENDOR_ID = 'CAREOFTR' AND DATA_FOLDER_ID = 'sampl'</v>
      </c>
      <c r="F142" t="str">
        <f t="shared" si="7"/>
        <v>Changed</v>
      </c>
      <c r="G142" t="str">
        <f t="shared" si="8"/>
        <v>-</v>
      </c>
    </row>
    <row r="143" spans="1:7" x14ac:dyDescent="0.25">
      <c r="A143" s="2" t="s">
        <v>1</v>
      </c>
      <c r="B143" s="9" t="s">
        <v>180</v>
      </c>
      <c r="C143" t="s">
        <v>1182</v>
      </c>
      <c r="D143" s="5" t="s">
        <v>2180</v>
      </c>
      <c r="E143" t="str">
        <f t="shared" ref="E143:E206" si="9">"UPDATE "&amp;$E$3&amp;" SET NEW_VENDOR_ID = '"&amp;D143&amp;"' WHERE LEGACY_VENDOR_ID = '"&amp;B143&amp;"' AND DATA_FOLDER_ID = '"&amp;$A143&amp;"'"</f>
        <v>UPDATE [MAP].[T_TRANS_VENDOR] SET NEW_VENDOR_ID = 'V0143' WHERE LEGACY_VENDOR_ID = 'CARETTII' AND DATA_FOLDER_ID = 'sampl'</v>
      </c>
      <c r="F143" t="str">
        <f t="shared" ref="F143:F206" si="10">IF(B143&lt;&gt;D143,"Changed","-")</f>
        <v>Changed</v>
      </c>
      <c r="G143" t="str">
        <f t="shared" ref="G143:G206" si="11">IF(B143="","Hide","-")</f>
        <v>-</v>
      </c>
    </row>
    <row r="144" spans="1:7" x14ac:dyDescent="0.25">
      <c r="A144" s="2" t="s">
        <v>1</v>
      </c>
      <c r="B144" s="9" t="s">
        <v>181</v>
      </c>
      <c r="C144" t="s">
        <v>1183</v>
      </c>
      <c r="D144" s="5" t="s">
        <v>2181</v>
      </c>
      <c r="E144" t="str">
        <f t="shared" si="9"/>
        <v>UPDATE [MAP].[T_TRANS_VENDOR] SET NEW_VENDOR_ID = 'V0144' WHERE LEGACY_VENDOR_ID = 'CARPBENE' AND DATA_FOLDER_ID = 'sampl'</v>
      </c>
      <c r="F144" t="str">
        <f t="shared" si="10"/>
        <v>Changed</v>
      </c>
      <c r="G144" t="str">
        <f t="shared" si="11"/>
        <v>-</v>
      </c>
    </row>
    <row r="145" spans="1:7" x14ac:dyDescent="0.25">
      <c r="A145" s="2" t="s">
        <v>1</v>
      </c>
      <c r="B145" s="9" t="s">
        <v>182</v>
      </c>
      <c r="C145" t="s">
        <v>1184</v>
      </c>
      <c r="D145" s="5" t="s">
        <v>2182</v>
      </c>
      <c r="E145" t="str">
        <f t="shared" si="9"/>
        <v>UPDATE [MAP].[T_TRANS_VENDOR] SET NEW_VENDOR_ID = 'V0145' WHERE LEGACY_VENDOR_ID = 'CARTERLUM' AND DATA_FOLDER_ID = 'sampl'</v>
      </c>
      <c r="F145" t="str">
        <f t="shared" si="10"/>
        <v>Changed</v>
      </c>
      <c r="G145" t="str">
        <f t="shared" si="11"/>
        <v>-</v>
      </c>
    </row>
    <row r="146" spans="1:7" x14ac:dyDescent="0.25">
      <c r="A146" s="2" t="s">
        <v>1</v>
      </c>
      <c r="B146" s="9" t="s">
        <v>183</v>
      </c>
      <c r="C146" t="s">
        <v>1185</v>
      </c>
      <c r="D146" s="5" t="s">
        <v>2183</v>
      </c>
      <c r="E146" t="str">
        <f t="shared" si="9"/>
        <v>UPDATE [MAP].[T_TRANS_VENDOR] SET NEW_VENDOR_ID = 'V0146' WHERE LEGACY_VENDOR_ID = 'CASCADEM' AND DATA_FOLDER_ID = 'sampl'</v>
      </c>
      <c r="F146" t="str">
        <f t="shared" si="10"/>
        <v>Changed</v>
      </c>
      <c r="G146" t="str">
        <f t="shared" si="11"/>
        <v>-</v>
      </c>
    </row>
    <row r="147" spans="1:7" x14ac:dyDescent="0.25">
      <c r="A147" s="2" t="s">
        <v>1</v>
      </c>
      <c r="B147" s="9" t="s">
        <v>184</v>
      </c>
      <c r="C147" t="s">
        <v>1186</v>
      </c>
      <c r="D147" s="5" t="s">
        <v>2184</v>
      </c>
      <c r="E147" t="str">
        <f t="shared" si="9"/>
        <v>UPDATE [MAP].[T_TRANS_VENDOR] SET NEW_VENDOR_ID = 'V0147' WHERE LEGACY_VENDOR_ID = 'CATAGNUS' AND DATA_FOLDER_ID = 'sampl'</v>
      </c>
      <c r="F147" t="str">
        <f t="shared" si="10"/>
        <v>Changed</v>
      </c>
      <c r="G147" t="str">
        <f t="shared" si="11"/>
        <v>-</v>
      </c>
    </row>
    <row r="148" spans="1:7" x14ac:dyDescent="0.25">
      <c r="A148" s="2" t="s">
        <v>1</v>
      </c>
      <c r="B148" s="9" t="s">
        <v>185</v>
      </c>
      <c r="C148" t="s">
        <v>1187</v>
      </c>
      <c r="D148" s="5" t="s">
        <v>2185</v>
      </c>
      <c r="E148" t="str">
        <f t="shared" si="9"/>
        <v>UPDATE [MAP].[T_TRANS_VENDOR] SET NEW_VENDOR_ID = 'V0148' WHERE LEGACY_VENDOR_ID = 'CAVANAUGH' AND DATA_FOLDER_ID = 'sampl'</v>
      </c>
      <c r="F148" t="str">
        <f t="shared" si="10"/>
        <v>Changed</v>
      </c>
      <c r="G148" t="str">
        <f t="shared" si="11"/>
        <v>-</v>
      </c>
    </row>
    <row r="149" spans="1:7" x14ac:dyDescent="0.25">
      <c r="A149" s="2" t="s">
        <v>1</v>
      </c>
      <c r="B149" s="9" t="s">
        <v>186</v>
      </c>
      <c r="C149" t="s">
        <v>1188</v>
      </c>
      <c r="D149" s="5" t="s">
        <v>2186</v>
      </c>
      <c r="E149" t="str">
        <f t="shared" si="9"/>
        <v>UPDATE [MAP].[T_TRANS_VENDOR] SET NEW_VENDOR_ID = 'V0149' WHERE LEGACY_VENDOR_ID = 'CCMCONTR' AND DATA_FOLDER_ID = 'sampl'</v>
      </c>
      <c r="F149" t="str">
        <f t="shared" si="10"/>
        <v>Changed</v>
      </c>
      <c r="G149" t="str">
        <f t="shared" si="11"/>
        <v>-</v>
      </c>
    </row>
    <row r="150" spans="1:7" x14ac:dyDescent="0.25">
      <c r="A150" s="2" t="s">
        <v>1</v>
      </c>
      <c r="B150" s="9" t="s">
        <v>187</v>
      </c>
      <c r="C150" t="s">
        <v>1189</v>
      </c>
      <c r="D150" s="5" t="s">
        <v>2187</v>
      </c>
      <c r="E150" t="str">
        <f t="shared" si="9"/>
        <v>UPDATE [MAP].[T_TRANS_VENDOR] SET NEW_VENDOR_ID = 'V0150' WHERE LEGACY_VENDOR_ID = 'CDWATERP' AND DATA_FOLDER_ID = 'sampl'</v>
      </c>
      <c r="F150" t="str">
        <f t="shared" si="10"/>
        <v>Changed</v>
      </c>
      <c r="G150" t="str">
        <f t="shared" si="11"/>
        <v>-</v>
      </c>
    </row>
    <row r="151" spans="1:7" x14ac:dyDescent="0.25">
      <c r="A151" s="2" t="s">
        <v>1</v>
      </c>
      <c r="B151" s="9" t="s">
        <v>188</v>
      </c>
      <c r="C151" t="s">
        <v>1190</v>
      </c>
      <c r="D151" s="5" t="s">
        <v>2188</v>
      </c>
      <c r="E151" t="str">
        <f t="shared" si="9"/>
        <v>UPDATE [MAP].[T_TRANS_VENDOR] SET NEW_VENDOR_ID = 'V0151' WHERE LEGACY_VENDOR_ID = 'CELTICCA' AND DATA_FOLDER_ID = 'sampl'</v>
      </c>
      <c r="F151" t="str">
        <f t="shared" si="10"/>
        <v>Changed</v>
      </c>
      <c r="G151" t="str">
        <f t="shared" si="11"/>
        <v>-</v>
      </c>
    </row>
    <row r="152" spans="1:7" x14ac:dyDescent="0.25">
      <c r="A152" s="2" t="s">
        <v>1</v>
      </c>
      <c r="B152" s="9" t="s">
        <v>189</v>
      </c>
      <c r="C152" t="s">
        <v>1191</v>
      </c>
      <c r="D152" s="5" t="s">
        <v>2189</v>
      </c>
      <c r="E152" t="str">
        <f t="shared" si="9"/>
        <v>UPDATE [MAP].[T_TRANS_VENDOR] SET NEW_VENDOR_ID = 'V0152' WHERE LEGACY_VENDOR_ID = 'CEMEDUES' AND DATA_FOLDER_ID = 'sampl'</v>
      </c>
      <c r="F152" t="str">
        <f t="shared" si="10"/>
        <v>Changed</v>
      </c>
      <c r="G152" t="str">
        <f t="shared" si="11"/>
        <v>-</v>
      </c>
    </row>
    <row r="153" spans="1:7" x14ac:dyDescent="0.25">
      <c r="A153" s="2" t="s">
        <v>1</v>
      </c>
      <c r="B153" s="9" t="s">
        <v>190</v>
      </c>
      <c r="C153" t="s">
        <v>1192</v>
      </c>
      <c r="D153" s="5" t="s">
        <v>2190</v>
      </c>
      <c r="E153" t="str">
        <f t="shared" si="9"/>
        <v>UPDATE [MAP].[T_TRANS_VENDOR] SET NEW_VENDOR_ID = 'V0153' WHERE LEGACY_VENDOR_ID = 'CENTRALC' AND DATA_FOLDER_ID = 'sampl'</v>
      </c>
      <c r="F153" t="str">
        <f t="shared" si="10"/>
        <v>Changed</v>
      </c>
      <c r="G153" t="str">
        <f t="shared" si="11"/>
        <v>-</v>
      </c>
    </row>
    <row r="154" spans="1:7" x14ac:dyDescent="0.25">
      <c r="A154" s="2" t="s">
        <v>1</v>
      </c>
      <c r="B154" s="9" t="s">
        <v>191</v>
      </c>
      <c r="C154" t="s">
        <v>1193</v>
      </c>
      <c r="D154" s="5" t="s">
        <v>2191</v>
      </c>
      <c r="E154" t="str">
        <f t="shared" si="9"/>
        <v>UPDATE [MAP].[T_TRANS_VENDOR] SET NEW_VENDOR_ID = 'V0154' WHERE LEGACY_VENDOR_ID = 'CERTIFIE' AND DATA_FOLDER_ID = 'sampl'</v>
      </c>
      <c r="F154" t="str">
        <f t="shared" si="10"/>
        <v>Changed</v>
      </c>
      <c r="G154" t="str">
        <f t="shared" si="11"/>
        <v>-</v>
      </c>
    </row>
    <row r="155" spans="1:7" x14ac:dyDescent="0.25">
      <c r="A155" s="2" t="s">
        <v>1</v>
      </c>
      <c r="B155" s="9" t="s">
        <v>192</v>
      </c>
      <c r="C155" t="s">
        <v>1194</v>
      </c>
      <c r="D155" s="5" t="s">
        <v>2192</v>
      </c>
      <c r="E155" t="str">
        <f t="shared" si="9"/>
        <v>UPDATE [MAP].[T_TRANS_VENDOR] SET NEW_VENDOR_ID = 'V0155' WHERE LEGACY_VENDOR_ID = 'CFISALES' AND DATA_FOLDER_ID = 'sampl'</v>
      </c>
      <c r="F155" t="str">
        <f t="shared" si="10"/>
        <v>Changed</v>
      </c>
      <c r="G155" t="str">
        <f t="shared" si="11"/>
        <v>-</v>
      </c>
    </row>
    <row r="156" spans="1:7" x14ac:dyDescent="0.25">
      <c r="A156" s="2" t="s">
        <v>1</v>
      </c>
      <c r="B156" s="9" t="s">
        <v>193</v>
      </c>
      <c r="C156" t="s">
        <v>1195</v>
      </c>
      <c r="D156" s="5" t="s">
        <v>2193</v>
      </c>
      <c r="E156" t="str">
        <f t="shared" si="9"/>
        <v>UPDATE [MAP].[T_TRANS_VENDOR] SET NEW_VENDOR_ID = 'V0156' WHERE LEGACY_VENDOR_ID = 'CHAMPION' AND DATA_FOLDER_ID = 'sampl'</v>
      </c>
      <c r="F156" t="str">
        <f t="shared" si="10"/>
        <v>Changed</v>
      </c>
      <c r="G156" t="str">
        <f t="shared" si="11"/>
        <v>-</v>
      </c>
    </row>
    <row r="157" spans="1:7" x14ac:dyDescent="0.25">
      <c r="A157" s="2" t="s">
        <v>1</v>
      </c>
      <c r="B157" s="9" t="s">
        <v>194</v>
      </c>
      <c r="C157" t="s">
        <v>1196</v>
      </c>
      <c r="D157" s="5" t="s">
        <v>2194</v>
      </c>
      <c r="E157" t="str">
        <f t="shared" si="9"/>
        <v>UPDATE [MAP].[T_TRANS_VENDOR] SET NEW_VENDOR_ID = 'V0157' WHERE LEGACY_VENDOR_ID = 'CHAPINGO' AND DATA_FOLDER_ID = 'sampl'</v>
      </c>
      <c r="F157" t="str">
        <f t="shared" si="10"/>
        <v>Changed</v>
      </c>
      <c r="G157" t="str">
        <f t="shared" si="11"/>
        <v>-</v>
      </c>
    </row>
    <row r="158" spans="1:7" x14ac:dyDescent="0.25">
      <c r="A158" s="2" t="s">
        <v>1</v>
      </c>
      <c r="B158" s="9" t="s">
        <v>195</v>
      </c>
      <c r="C158" t="s">
        <v>1197</v>
      </c>
      <c r="D158" s="5" t="s">
        <v>2195</v>
      </c>
      <c r="E158" t="str">
        <f t="shared" si="9"/>
        <v>UPDATE [MAP].[T_TRANS_VENDOR] SET NEW_VENDOR_ID = 'V0158' WHERE LEGACY_VENDOR_ID = 'CHAPMANS' AND DATA_FOLDER_ID = 'sampl'</v>
      </c>
      <c r="F158" t="str">
        <f t="shared" si="10"/>
        <v>Changed</v>
      </c>
      <c r="G158" t="str">
        <f t="shared" si="11"/>
        <v>-</v>
      </c>
    </row>
    <row r="159" spans="1:7" x14ac:dyDescent="0.25">
      <c r="A159" s="2" t="s">
        <v>1</v>
      </c>
      <c r="B159" s="9" t="s">
        <v>196</v>
      </c>
      <c r="C159" t="s">
        <v>1198</v>
      </c>
      <c r="D159" s="5" t="s">
        <v>2196</v>
      </c>
      <c r="E159" t="str">
        <f t="shared" si="9"/>
        <v>UPDATE [MAP].[T_TRANS_VENDOR] SET NEW_VENDOR_ID = 'V0159' WHERE LEGACY_VENDOR_ID = 'CHASEBANK' AND DATA_FOLDER_ID = 'sampl'</v>
      </c>
      <c r="F159" t="str">
        <f t="shared" si="10"/>
        <v>Changed</v>
      </c>
      <c r="G159" t="str">
        <f t="shared" si="11"/>
        <v>-</v>
      </c>
    </row>
    <row r="160" spans="1:7" x14ac:dyDescent="0.25">
      <c r="A160" s="2" t="s">
        <v>1</v>
      </c>
      <c r="B160" s="9" t="s">
        <v>197</v>
      </c>
      <c r="C160" t="s">
        <v>1199</v>
      </c>
      <c r="D160" s="5" t="s">
        <v>2197</v>
      </c>
      <c r="E160" t="str">
        <f t="shared" si="9"/>
        <v>UPDATE [MAP].[T_TRANS_VENDOR] SET NEW_VENDOR_ID = 'V0160' WHERE LEGACY_VENDOR_ID = 'CHEMDRYN' AND DATA_FOLDER_ID = 'sampl'</v>
      </c>
      <c r="F160" t="str">
        <f t="shared" si="10"/>
        <v>Changed</v>
      </c>
      <c r="G160" t="str">
        <f t="shared" si="11"/>
        <v>-</v>
      </c>
    </row>
    <row r="161" spans="1:7" x14ac:dyDescent="0.25">
      <c r="A161" s="2" t="s">
        <v>1</v>
      </c>
      <c r="B161" s="9" t="s">
        <v>198</v>
      </c>
      <c r="C161" t="s">
        <v>1200</v>
      </c>
      <c r="D161" s="5" t="s">
        <v>2198</v>
      </c>
      <c r="E161" t="str">
        <f t="shared" si="9"/>
        <v>UPDATE [MAP].[T_TRANS_VENDOR] SET NEW_VENDOR_ID = 'V0161' WHERE LEGACY_VENDOR_ID = 'CHESCOCO' AND DATA_FOLDER_ID = 'sampl'</v>
      </c>
      <c r="F161" t="str">
        <f t="shared" si="10"/>
        <v>Changed</v>
      </c>
      <c r="G161" t="str">
        <f t="shared" si="11"/>
        <v>-</v>
      </c>
    </row>
    <row r="162" spans="1:7" x14ac:dyDescent="0.25">
      <c r="A162" s="2" t="s">
        <v>1</v>
      </c>
      <c r="B162" s="9" t="s">
        <v>199</v>
      </c>
      <c r="C162" t="s">
        <v>1201</v>
      </c>
      <c r="D162" s="5" t="s">
        <v>2199</v>
      </c>
      <c r="E162" t="str">
        <f t="shared" si="9"/>
        <v>UPDATE [MAP].[T_TRANS_VENDOR] SET NEW_VENDOR_ID = 'V0162' WHERE LEGACY_VENDOR_ID = 'CHIMCHAR' AND DATA_FOLDER_ID = 'sampl'</v>
      </c>
      <c r="F162" t="str">
        <f t="shared" si="10"/>
        <v>Changed</v>
      </c>
      <c r="G162" t="str">
        <f t="shared" si="11"/>
        <v>-</v>
      </c>
    </row>
    <row r="163" spans="1:7" x14ac:dyDescent="0.25">
      <c r="A163" s="2" t="s">
        <v>1</v>
      </c>
      <c r="B163" s="9" t="s">
        <v>200</v>
      </c>
      <c r="C163" t="s">
        <v>1202</v>
      </c>
      <c r="D163" s="5" t="s">
        <v>2200</v>
      </c>
      <c r="E163" t="str">
        <f t="shared" si="9"/>
        <v>UPDATE [MAP].[T_TRANS_VENDOR] SET NEW_VENDOR_ID = 'V0163' WHERE LEGACY_VENDOR_ID = 'CHRISMUS' AND DATA_FOLDER_ID = 'sampl'</v>
      </c>
      <c r="F163" t="str">
        <f t="shared" si="10"/>
        <v>Changed</v>
      </c>
      <c r="G163" t="str">
        <f t="shared" si="11"/>
        <v>-</v>
      </c>
    </row>
    <row r="164" spans="1:7" x14ac:dyDescent="0.25">
      <c r="A164" s="2" t="s">
        <v>1</v>
      </c>
      <c r="B164" s="9" t="s">
        <v>201</v>
      </c>
      <c r="C164" t="s">
        <v>1203</v>
      </c>
      <c r="D164" s="5" t="s">
        <v>2201</v>
      </c>
      <c r="E164" t="str">
        <f t="shared" si="9"/>
        <v>UPDATE [MAP].[T_TRANS_VENDOR] SET NEW_VENDOR_ID = 'V0164' WHERE LEGACY_VENDOR_ID = 'CHRISTIAN' AND DATA_FOLDER_ID = 'sampl'</v>
      </c>
      <c r="F164" t="str">
        <f t="shared" si="10"/>
        <v>Changed</v>
      </c>
      <c r="G164" t="str">
        <f t="shared" si="11"/>
        <v>-</v>
      </c>
    </row>
    <row r="165" spans="1:7" x14ac:dyDescent="0.25">
      <c r="A165" s="2" t="s">
        <v>1</v>
      </c>
      <c r="B165" s="9" t="s">
        <v>202</v>
      </c>
      <c r="C165" t="s">
        <v>1204</v>
      </c>
      <c r="D165" s="5" t="s">
        <v>2202</v>
      </c>
      <c r="E165" t="str">
        <f t="shared" si="9"/>
        <v>UPDATE [MAP].[T_TRANS_VENDOR] SET NEW_VENDOR_ID = 'V0165' WHERE LEGACY_VENDOR_ID = 'CHUBBGR' AND DATA_FOLDER_ID = 'sampl'</v>
      </c>
      <c r="F165" t="str">
        <f t="shared" si="10"/>
        <v>Changed</v>
      </c>
      <c r="G165" t="str">
        <f t="shared" si="11"/>
        <v>-</v>
      </c>
    </row>
    <row r="166" spans="1:7" x14ac:dyDescent="0.25">
      <c r="A166" s="2" t="s">
        <v>1</v>
      </c>
      <c r="B166" s="9" t="s">
        <v>203</v>
      </c>
      <c r="C166" t="s">
        <v>1205</v>
      </c>
      <c r="D166" s="5" t="s">
        <v>2203</v>
      </c>
      <c r="E166" t="str">
        <f t="shared" si="9"/>
        <v>UPDATE [MAP].[T_TRANS_VENDOR] SET NEW_VENDOR_ID = 'V0166' WHERE LEGACY_VENDOR_ID = 'CITYALLE' AND DATA_FOLDER_ID = 'sampl'</v>
      </c>
      <c r="F166" t="str">
        <f t="shared" si="10"/>
        <v>Changed</v>
      </c>
      <c r="G166" t="str">
        <f t="shared" si="11"/>
        <v>-</v>
      </c>
    </row>
    <row r="167" spans="1:7" x14ac:dyDescent="0.25">
      <c r="A167" s="2" t="s">
        <v>1</v>
      </c>
      <c r="B167" s="9" t="s">
        <v>204</v>
      </c>
      <c r="C167" t="s">
        <v>1206</v>
      </c>
      <c r="D167" s="5" t="s">
        <v>2204</v>
      </c>
      <c r="E167" t="str">
        <f t="shared" si="9"/>
        <v>UPDATE [MAP].[T_TRANS_VENDOR] SET NEW_VENDOR_ID = 'V0167' WHERE LEGACY_VENDOR_ID = 'CITYBETH' AND DATA_FOLDER_ID = 'sampl'</v>
      </c>
      <c r="F167" t="str">
        <f t="shared" si="10"/>
        <v>Changed</v>
      </c>
      <c r="G167" t="str">
        <f t="shared" si="11"/>
        <v>-</v>
      </c>
    </row>
    <row r="168" spans="1:7" x14ac:dyDescent="0.25">
      <c r="A168" s="2" t="s">
        <v>1</v>
      </c>
      <c r="B168" s="9" t="s">
        <v>205</v>
      </c>
      <c r="C168" t="s">
        <v>1207</v>
      </c>
      <c r="D168" s="5" t="s">
        <v>2205</v>
      </c>
      <c r="E168" t="str">
        <f t="shared" si="9"/>
        <v>UPDATE [MAP].[T_TRANS_VENDOR] SET NEW_VENDOR_ID = 'V0168' WHERE LEGACY_VENDOR_ID = 'CITYHAZLET' AND DATA_FOLDER_ID = 'sampl'</v>
      </c>
      <c r="F168" t="str">
        <f t="shared" si="10"/>
        <v>Changed</v>
      </c>
      <c r="G168" t="str">
        <f t="shared" si="11"/>
        <v>-</v>
      </c>
    </row>
    <row r="169" spans="1:7" x14ac:dyDescent="0.25">
      <c r="A169" s="2" t="s">
        <v>1</v>
      </c>
      <c r="B169" s="9" t="s">
        <v>206</v>
      </c>
      <c r="C169" t="s">
        <v>1208</v>
      </c>
      <c r="D169" s="5" t="s">
        <v>2206</v>
      </c>
      <c r="E169" t="str">
        <f t="shared" si="9"/>
        <v>UPDATE [MAP].[T_TRANS_VENDOR] SET NEW_VENDOR_ID = 'V0169' WHERE LEGACY_VENDOR_ID = 'CITYOFWB' AND DATA_FOLDER_ID = 'sampl'</v>
      </c>
      <c r="F169" t="str">
        <f t="shared" si="10"/>
        <v>Changed</v>
      </c>
      <c r="G169" t="str">
        <f t="shared" si="11"/>
        <v>-</v>
      </c>
    </row>
    <row r="170" spans="1:7" x14ac:dyDescent="0.25">
      <c r="A170" s="2" t="s">
        <v>1</v>
      </c>
      <c r="B170" s="9" t="s">
        <v>207</v>
      </c>
      <c r="C170" t="s">
        <v>1209</v>
      </c>
      <c r="D170" s="5" t="s">
        <v>2207</v>
      </c>
      <c r="E170" t="str">
        <f t="shared" si="9"/>
        <v>UPDATE [MAP].[T_TRANS_VENDOR] SET NEW_VENDOR_ID = 'V0170' WHERE LEGACY_VENDOR_ID = 'CITYRANSON' AND DATA_FOLDER_ID = 'sampl'</v>
      </c>
      <c r="F170" t="str">
        <f t="shared" si="10"/>
        <v>Changed</v>
      </c>
      <c r="G170" t="str">
        <f t="shared" si="11"/>
        <v>-</v>
      </c>
    </row>
    <row r="171" spans="1:7" x14ac:dyDescent="0.25">
      <c r="A171" s="2" t="s">
        <v>1</v>
      </c>
      <c r="B171" s="9" t="s">
        <v>208</v>
      </c>
      <c r="C171" t="s">
        <v>1210</v>
      </c>
      <c r="D171" s="5" t="s">
        <v>2208</v>
      </c>
      <c r="E171" t="str">
        <f t="shared" si="9"/>
        <v>UPDATE [MAP].[T_TRANS_VENDOR] SET NEW_VENDOR_ID = 'V0171' WHERE LEGACY_VENDOR_ID = 'CITYSCRA' AND DATA_FOLDER_ID = 'sampl'</v>
      </c>
      <c r="F171" t="str">
        <f t="shared" si="10"/>
        <v>Changed</v>
      </c>
      <c r="G171" t="str">
        <f t="shared" si="11"/>
        <v>-</v>
      </c>
    </row>
    <row r="172" spans="1:7" x14ac:dyDescent="0.25">
      <c r="A172" s="2" t="s">
        <v>1</v>
      </c>
      <c r="B172" s="9" t="s">
        <v>209</v>
      </c>
      <c r="C172" t="s">
        <v>1211</v>
      </c>
      <c r="D172" s="5" t="s">
        <v>2209</v>
      </c>
      <c r="E172" t="str">
        <f t="shared" si="9"/>
        <v>UPDATE [MAP].[T_TRANS_VENDOR] SET NEW_VENDOR_ID = 'V0172' WHERE LEGACY_VENDOR_ID = 'CJMPAINT' AND DATA_FOLDER_ID = 'sampl'</v>
      </c>
      <c r="F172" t="str">
        <f t="shared" si="10"/>
        <v>Changed</v>
      </c>
      <c r="G172" t="str">
        <f t="shared" si="11"/>
        <v>-</v>
      </c>
    </row>
    <row r="173" spans="1:7" x14ac:dyDescent="0.25">
      <c r="A173" s="2" t="s">
        <v>1</v>
      </c>
      <c r="B173" s="9" t="s">
        <v>210</v>
      </c>
      <c r="C173" t="s">
        <v>1212</v>
      </c>
      <c r="D173" s="5" t="s">
        <v>2210</v>
      </c>
      <c r="E173" t="str">
        <f t="shared" si="9"/>
        <v>UPDATE [MAP].[T_TRANS_VENDOR] SET NEW_VENDOR_ID = 'V0173' WHERE LEGACY_VENDOR_ID = 'CLASSFIR' AND DATA_FOLDER_ID = 'sampl'</v>
      </c>
      <c r="F173" t="str">
        <f t="shared" si="10"/>
        <v>Changed</v>
      </c>
      <c r="G173" t="str">
        <f t="shared" si="11"/>
        <v>-</v>
      </c>
    </row>
    <row r="174" spans="1:7" x14ac:dyDescent="0.25">
      <c r="A174" s="2" t="s">
        <v>1</v>
      </c>
      <c r="B174" s="9" t="s">
        <v>211</v>
      </c>
      <c r="C174" t="s">
        <v>1213</v>
      </c>
      <c r="D174" s="5" t="s">
        <v>2211</v>
      </c>
      <c r="E174" t="str">
        <f t="shared" si="9"/>
        <v>UPDATE [MAP].[T_TRANS_VENDOR] SET NEW_VENDOR_ID = 'V0174' WHERE LEGACY_VENDOR_ID = 'CLEANTECH' AND DATA_FOLDER_ID = 'sampl'</v>
      </c>
      <c r="F174" t="str">
        <f t="shared" si="10"/>
        <v>Changed</v>
      </c>
      <c r="G174" t="str">
        <f t="shared" si="11"/>
        <v>-</v>
      </c>
    </row>
    <row r="175" spans="1:7" x14ac:dyDescent="0.25">
      <c r="A175" s="2" t="s">
        <v>1</v>
      </c>
      <c r="B175" s="9" t="s">
        <v>212</v>
      </c>
      <c r="C175" t="s">
        <v>1214</v>
      </c>
      <c r="D175" s="5" t="s">
        <v>2212</v>
      </c>
      <c r="E175" t="str">
        <f t="shared" si="9"/>
        <v>UPDATE [MAP].[T_TRANS_VENDOR] SET NEW_VENDOR_ID = 'V0175' WHERE LEGACY_VENDOR_ID = 'CLEVBROS' AND DATA_FOLDER_ID = 'sampl'</v>
      </c>
      <c r="F175" t="str">
        <f t="shared" si="10"/>
        <v>Changed</v>
      </c>
      <c r="G175" t="str">
        <f t="shared" si="11"/>
        <v>-</v>
      </c>
    </row>
    <row r="176" spans="1:7" x14ac:dyDescent="0.25">
      <c r="A176" s="2" t="s">
        <v>1</v>
      </c>
      <c r="B176" s="9" t="s">
        <v>213</v>
      </c>
      <c r="C176" t="s">
        <v>1215</v>
      </c>
      <c r="D176" s="5" t="s">
        <v>2213</v>
      </c>
      <c r="E176" t="str">
        <f t="shared" si="9"/>
        <v>UPDATE [MAP].[T_TRANS_VENDOR] SET NEW_VENDOR_ID = 'V0176' WHERE LEGACY_VENDOR_ID = 'COHENSEG' AND DATA_FOLDER_ID = 'sampl'</v>
      </c>
      <c r="F176" t="str">
        <f t="shared" si="10"/>
        <v>Changed</v>
      </c>
      <c r="G176" t="str">
        <f t="shared" si="11"/>
        <v>-</v>
      </c>
    </row>
    <row r="177" spans="1:7" x14ac:dyDescent="0.25">
      <c r="A177" s="2" t="s">
        <v>1</v>
      </c>
      <c r="B177" s="9" t="s">
        <v>214</v>
      </c>
      <c r="C177" t="s">
        <v>1216</v>
      </c>
      <c r="D177" s="5" t="s">
        <v>2214</v>
      </c>
      <c r="E177" t="str">
        <f t="shared" si="9"/>
        <v>UPDATE [MAP].[T_TRANS_VENDOR] SET NEW_VENDOR_ID = 'V0177' WHERE LEGACY_VENDOR_ID = 'COLECONS' AND DATA_FOLDER_ID = 'sampl'</v>
      </c>
      <c r="F177" t="str">
        <f t="shared" si="10"/>
        <v>Changed</v>
      </c>
      <c r="G177" t="str">
        <f t="shared" si="11"/>
        <v>-</v>
      </c>
    </row>
    <row r="178" spans="1:7" x14ac:dyDescent="0.25">
      <c r="A178" s="2" t="s">
        <v>1</v>
      </c>
      <c r="B178" s="9" t="s">
        <v>215</v>
      </c>
      <c r="C178" t="s">
        <v>1217</v>
      </c>
      <c r="D178" s="5" t="s">
        <v>2215</v>
      </c>
      <c r="E178" t="str">
        <f t="shared" si="9"/>
        <v>UPDATE [MAP].[T_TRANS_VENDOR] SET NEW_VENDOR_ID = 'V0178' WHERE LEGACY_VENDOR_ID = 'COLLECTO' AND DATA_FOLDER_ID = 'sampl'</v>
      </c>
      <c r="F178" t="str">
        <f t="shared" si="10"/>
        <v>Changed</v>
      </c>
      <c r="G178" t="str">
        <f t="shared" si="11"/>
        <v>-</v>
      </c>
    </row>
    <row r="179" spans="1:7" x14ac:dyDescent="0.25">
      <c r="A179" s="2" t="s">
        <v>1</v>
      </c>
      <c r="B179" s="9" t="s">
        <v>216</v>
      </c>
      <c r="C179" t="s">
        <v>1218</v>
      </c>
      <c r="D179" s="5" t="s">
        <v>2216</v>
      </c>
      <c r="E179" t="str">
        <f t="shared" si="9"/>
        <v>UPDATE [MAP].[T_TRANS_VENDOR] SET NEW_VENDOR_ID = 'V0179' WHERE LEGACY_VENDOR_ID = 'COLLINSO' AND DATA_FOLDER_ID = 'sampl'</v>
      </c>
      <c r="F179" t="str">
        <f t="shared" si="10"/>
        <v>Changed</v>
      </c>
      <c r="G179" t="str">
        <f t="shared" si="11"/>
        <v>-</v>
      </c>
    </row>
    <row r="180" spans="1:7" x14ac:dyDescent="0.25">
      <c r="A180" s="2" t="s">
        <v>1</v>
      </c>
      <c r="B180" s="9" t="s">
        <v>217</v>
      </c>
      <c r="C180" t="s">
        <v>1219</v>
      </c>
      <c r="D180" s="5" t="s">
        <v>2217</v>
      </c>
      <c r="E180" t="str">
        <f t="shared" si="9"/>
        <v>UPDATE [MAP].[T_TRANS_VENDOR] SET NEW_VENDOR_ID = 'V0180' WHERE LEGACY_VENDOR_ID = 'COLONYHA' AND DATA_FOLDER_ID = 'sampl'</v>
      </c>
      <c r="F180" t="str">
        <f t="shared" si="10"/>
        <v>Changed</v>
      </c>
      <c r="G180" t="str">
        <f t="shared" si="11"/>
        <v>-</v>
      </c>
    </row>
    <row r="181" spans="1:7" x14ac:dyDescent="0.25">
      <c r="A181" s="2" t="s">
        <v>1</v>
      </c>
      <c r="B181" s="9" t="s">
        <v>218</v>
      </c>
      <c r="C181" t="s">
        <v>1220</v>
      </c>
      <c r="D181" s="5" t="s">
        <v>2218</v>
      </c>
      <c r="E181" t="str">
        <f t="shared" si="9"/>
        <v>UPDATE [MAP].[T_TRANS_VENDOR] SET NEW_VENDOR_ID = 'V0182' WHERE LEGACY_VENDOR_ID = 'COLOURS3' AND DATA_FOLDER_ID = 'sampl'</v>
      </c>
      <c r="F181" t="str">
        <f t="shared" si="10"/>
        <v>Changed</v>
      </c>
      <c r="G181" t="str">
        <f t="shared" si="11"/>
        <v>-</v>
      </c>
    </row>
    <row r="182" spans="1:7" x14ac:dyDescent="0.25">
      <c r="A182" s="2" t="s">
        <v>1</v>
      </c>
      <c r="B182" s="9" t="s">
        <v>219</v>
      </c>
      <c r="C182" t="s">
        <v>1221</v>
      </c>
      <c r="D182" s="5" t="s">
        <v>2219</v>
      </c>
      <c r="E182" t="str">
        <f t="shared" si="9"/>
        <v>UPDATE [MAP].[T_TRANS_VENDOR] SET NEW_VENDOR_ID = 'V0183' WHERE LEGACY_VENDOR_ID = 'COLUMEXC' AND DATA_FOLDER_ID = 'sampl'</v>
      </c>
      <c r="F182" t="str">
        <f t="shared" si="10"/>
        <v>Changed</v>
      </c>
      <c r="G182" t="str">
        <f t="shared" si="11"/>
        <v>-</v>
      </c>
    </row>
    <row r="183" spans="1:7" x14ac:dyDescent="0.25">
      <c r="A183" s="2" t="s">
        <v>1</v>
      </c>
      <c r="B183" s="9" t="s">
        <v>220</v>
      </c>
      <c r="C183" t="s">
        <v>1222</v>
      </c>
      <c r="D183" s="5" t="s">
        <v>2220</v>
      </c>
      <c r="E183" t="str">
        <f t="shared" si="9"/>
        <v>UPDATE [MAP].[T_TRANS_VENDOR] SET NEW_VENDOR_ID = 'V0184' WHERE LEGACY_VENDOR_ID = 'COLUMLOC' AND DATA_FOLDER_ID = 'sampl'</v>
      </c>
      <c r="F183" t="str">
        <f t="shared" si="10"/>
        <v>Changed</v>
      </c>
      <c r="G183" t="str">
        <f t="shared" si="11"/>
        <v>-</v>
      </c>
    </row>
    <row r="184" spans="1:7" x14ac:dyDescent="0.25">
      <c r="A184" s="2" t="s">
        <v>1</v>
      </c>
      <c r="B184" s="9" t="s">
        <v>221</v>
      </c>
      <c r="C184" t="s">
        <v>1223</v>
      </c>
      <c r="D184" s="5" t="s">
        <v>2221</v>
      </c>
      <c r="E184" t="str">
        <f t="shared" si="9"/>
        <v>UPDATE [MAP].[T_TRANS_VENDOR] SET NEW_VENDOR_ID = 'V0185' WHERE LEGACY_VENDOR_ID = 'COMCAST' AND DATA_FOLDER_ID = 'sampl'</v>
      </c>
      <c r="F184" t="str">
        <f t="shared" si="10"/>
        <v>Changed</v>
      </c>
      <c r="G184" t="str">
        <f t="shared" si="11"/>
        <v>-</v>
      </c>
    </row>
    <row r="185" spans="1:7" x14ac:dyDescent="0.25">
      <c r="A185" s="2" t="s">
        <v>1</v>
      </c>
      <c r="B185" s="9" t="s">
        <v>222</v>
      </c>
      <c r="C185" t="s">
        <v>1224</v>
      </c>
      <c r="D185" s="5" t="s">
        <v>2222</v>
      </c>
      <c r="E185" t="str">
        <f t="shared" si="9"/>
        <v>UPDATE [MAP].[T_TRANS_VENDOR] SET NEW_VENDOR_ID = 'V0186' WHERE LEGACY_VENDOR_ID = 'COMMBURE' AND DATA_FOLDER_ID = 'sampl'</v>
      </c>
      <c r="F185" t="str">
        <f t="shared" si="10"/>
        <v>Changed</v>
      </c>
      <c r="G185" t="str">
        <f t="shared" si="11"/>
        <v>-</v>
      </c>
    </row>
    <row r="186" spans="1:7" x14ac:dyDescent="0.25">
      <c r="A186" s="2" t="s">
        <v>1</v>
      </c>
      <c r="B186" s="9" t="s">
        <v>223</v>
      </c>
      <c r="C186" t="s">
        <v>1225</v>
      </c>
      <c r="D186" s="5" t="s">
        <v>2223</v>
      </c>
      <c r="E186" t="str">
        <f t="shared" si="9"/>
        <v>UPDATE [MAP].[T_TRANS_VENDOR] SET NEW_VENDOR_ID = 'V0187' WHERE LEGACY_VENDOR_ID = 'COMPLAWN' AND DATA_FOLDER_ID = 'sampl'</v>
      </c>
      <c r="F186" t="str">
        <f t="shared" si="10"/>
        <v>Changed</v>
      </c>
      <c r="G186" t="str">
        <f t="shared" si="11"/>
        <v>-</v>
      </c>
    </row>
    <row r="187" spans="1:7" x14ac:dyDescent="0.25">
      <c r="A187" s="2" t="s">
        <v>1</v>
      </c>
      <c r="B187" s="9" t="s">
        <v>224</v>
      </c>
      <c r="C187" t="s">
        <v>1226</v>
      </c>
      <c r="D187" s="5" t="s">
        <v>2224</v>
      </c>
      <c r="E187" t="str">
        <f t="shared" si="9"/>
        <v>UPDATE [MAP].[T_TRANS_VENDOR] SET NEW_VENDOR_ID = 'V0188' WHERE LEGACY_VENDOR_ID = 'CONCCUTT' AND DATA_FOLDER_ID = 'sampl'</v>
      </c>
      <c r="F187" t="str">
        <f t="shared" si="10"/>
        <v>Changed</v>
      </c>
      <c r="G187" t="str">
        <f t="shared" si="11"/>
        <v>-</v>
      </c>
    </row>
    <row r="188" spans="1:7" x14ac:dyDescent="0.25">
      <c r="A188" s="2" t="s">
        <v>1</v>
      </c>
      <c r="B188" s="9" t="s">
        <v>225</v>
      </c>
      <c r="C188" t="s">
        <v>1227</v>
      </c>
      <c r="D188" s="5" t="s">
        <v>2225</v>
      </c>
      <c r="E188" t="str">
        <f t="shared" si="9"/>
        <v>UPDATE [MAP].[T_TRANS_VENDOR] SET NEW_VENDOR_ID = 'V0189' WHERE LEGACY_VENDOR_ID = 'CONCFORM' AND DATA_FOLDER_ID = 'sampl'</v>
      </c>
      <c r="F188" t="str">
        <f t="shared" si="10"/>
        <v>Changed</v>
      </c>
      <c r="G188" t="str">
        <f t="shared" si="11"/>
        <v>-</v>
      </c>
    </row>
    <row r="189" spans="1:7" x14ac:dyDescent="0.25">
      <c r="A189" s="2" t="s">
        <v>1</v>
      </c>
      <c r="B189" s="9" t="s">
        <v>226</v>
      </c>
      <c r="C189" t="s">
        <v>1228</v>
      </c>
      <c r="D189" s="5" t="s">
        <v>2226</v>
      </c>
      <c r="E189" t="str">
        <f t="shared" si="9"/>
        <v>UPDATE [MAP].[T_TRANS_VENDOR] SET NEW_VENDOR_ID = 'V0190' WHERE LEGACY_VENDOR_ID = 'CONCTEXT' AND DATA_FOLDER_ID = 'sampl'</v>
      </c>
      <c r="F189" t="str">
        <f t="shared" si="10"/>
        <v>Changed</v>
      </c>
      <c r="G189" t="str">
        <f t="shared" si="11"/>
        <v>-</v>
      </c>
    </row>
    <row r="190" spans="1:7" x14ac:dyDescent="0.25">
      <c r="A190" s="2" t="s">
        <v>1</v>
      </c>
      <c r="B190" s="9" t="s">
        <v>227</v>
      </c>
      <c r="C190" t="s">
        <v>1229</v>
      </c>
      <c r="D190" s="5" t="s">
        <v>2227</v>
      </c>
      <c r="E190" t="str">
        <f t="shared" si="9"/>
        <v>UPDATE [MAP].[T_TRANS_VENDOR] SET NEW_VENDOR_ID = 'V0191' WHERE LEGACY_VENDOR_ID = 'CONCWASH' AND DATA_FOLDER_ID = 'sampl'</v>
      </c>
      <c r="F190" t="str">
        <f t="shared" si="10"/>
        <v>Changed</v>
      </c>
      <c r="G190" t="str">
        <f t="shared" si="11"/>
        <v>-</v>
      </c>
    </row>
    <row r="191" spans="1:7" x14ac:dyDescent="0.25">
      <c r="A191" s="2" t="s">
        <v>1</v>
      </c>
      <c r="B191" s="9" t="s">
        <v>228</v>
      </c>
      <c r="C191" t="s">
        <v>1230</v>
      </c>
      <c r="D191" s="5" t="s">
        <v>2228</v>
      </c>
      <c r="E191" t="str">
        <f t="shared" si="9"/>
        <v>UPDATE [MAP].[T_TRANS_VENDOR] SET NEW_VENDOR_ID = 'V0192' WHERE LEGACY_VENDOR_ID = 'CONDRONS' AND DATA_FOLDER_ID = 'sampl'</v>
      </c>
      <c r="F191" t="str">
        <f t="shared" si="10"/>
        <v>Changed</v>
      </c>
      <c r="G191" t="str">
        <f t="shared" si="11"/>
        <v>-</v>
      </c>
    </row>
    <row r="192" spans="1:7" x14ac:dyDescent="0.25">
      <c r="A192" s="2" t="s">
        <v>1</v>
      </c>
      <c r="B192" s="9" t="s">
        <v>229</v>
      </c>
      <c r="C192" t="s">
        <v>1231</v>
      </c>
      <c r="D192" s="5" t="s">
        <v>2229</v>
      </c>
      <c r="E192" t="str">
        <f t="shared" si="9"/>
        <v>UPDATE [MAP].[T_TRANS_VENDOR] SET NEW_VENDOR_ID = 'V0193' WHERE LEGACY_VENDOR_ID = 'CONMATGR' AND DATA_FOLDER_ID = 'sampl'</v>
      </c>
      <c r="F192" t="str">
        <f t="shared" si="10"/>
        <v>Changed</v>
      </c>
      <c r="G192" t="str">
        <f t="shared" si="11"/>
        <v>-</v>
      </c>
    </row>
    <row r="193" spans="1:7" x14ac:dyDescent="0.25">
      <c r="A193" s="2" t="s">
        <v>1</v>
      </c>
      <c r="B193" s="9" t="s">
        <v>230</v>
      </c>
      <c r="C193" t="s">
        <v>1232</v>
      </c>
      <c r="D193" s="5" t="s">
        <v>2230</v>
      </c>
      <c r="E193" t="str">
        <f t="shared" si="9"/>
        <v>UPDATE [MAP].[T_TRANS_VENDOR] SET NEW_VENDOR_ID = 'V0194' WHERE LEGACY_VENDOR_ID = 'CONTEPAV' AND DATA_FOLDER_ID = 'sampl'</v>
      </c>
      <c r="F193" t="str">
        <f t="shared" si="10"/>
        <v>Changed</v>
      </c>
      <c r="G193" t="str">
        <f t="shared" si="11"/>
        <v>-</v>
      </c>
    </row>
    <row r="194" spans="1:7" x14ac:dyDescent="0.25">
      <c r="A194" s="2" t="s">
        <v>1</v>
      </c>
      <c r="B194" s="9" t="s">
        <v>231</v>
      </c>
      <c r="C194" t="s">
        <v>1233</v>
      </c>
      <c r="D194" s="5" t="s">
        <v>2231</v>
      </c>
      <c r="E194" t="str">
        <f t="shared" si="9"/>
        <v>UPDATE [MAP].[T_TRANS_VENDOR] SET NEW_VENDOR_ID = 'V0195' WHERE LEGACY_VENDOR_ID = 'CONTEXTURE' AND DATA_FOLDER_ID = 'sampl'</v>
      </c>
      <c r="F194" t="str">
        <f t="shared" si="10"/>
        <v>Changed</v>
      </c>
      <c r="G194" t="str">
        <f t="shared" si="11"/>
        <v>-</v>
      </c>
    </row>
    <row r="195" spans="1:7" x14ac:dyDescent="0.25">
      <c r="A195" s="2" t="s">
        <v>1</v>
      </c>
      <c r="B195" s="9" t="s">
        <v>232</v>
      </c>
      <c r="C195" t="s">
        <v>1234</v>
      </c>
      <c r="D195" s="5" t="s">
        <v>2232</v>
      </c>
      <c r="E195" t="str">
        <f t="shared" si="9"/>
        <v>UPDATE [MAP].[T_TRANS_VENDOR] SET NEW_VENDOR_ID = 'V0196' WHERE LEGACY_VENDOR_ID = 'CONVERCO' AND DATA_FOLDER_ID = 'sampl'</v>
      </c>
      <c r="F195" t="str">
        <f t="shared" si="10"/>
        <v>Changed</v>
      </c>
      <c r="G195" t="str">
        <f t="shared" si="11"/>
        <v>-</v>
      </c>
    </row>
    <row r="196" spans="1:7" x14ac:dyDescent="0.25">
      <c r="A196" s="2" t="s">
        <v>1</v>
      </c>
      <c r="B196" s="9" t="s">
        <v>233</v>
      </c>
      <c r="C196" t="s">
        <v>1235</v>
      </c>
      <c r="D196" s="5" t="s">
        <v>2233</v>
      </c>
      <c r="E196" t="str">
        <f t="shared" si="9"/>
        <v>UPDATE [MAP].[T_TRANS_VENDOR] SET NEW_VENDOR_ID = 'V0197' WHERE LEGACY_VENDOR_ID = 'COOLBAUGH' AND DATA_FOLDER_ID = 'sampl'</v>
      </c>
      <c r="F196" t="str">
        <f t="shared" si="10"/>
        <v>Changed</v>
      </c>
      <c r="G196" t="str">
        <f t="shared" si="11"/>
        <v>-</v>
      </c>
    </row>
    <row r="197" spans="1:7" x14ac:dyDescent="0.25">
      <c r="A197" s="2" t="s">
        <v>1</v>
      </c>
      <c r="B197" s="9" t="s">
        <v>234</v>
      </c>
      <c r="C197" t="s">
        <v>1236</v>
      </c>
      <c r="D197" s="5" t="s">
        <v>2234</v>
      </c>
      <c r="E197" t="str">
        <f t="shared" si="9"/>
        <v>UPDATE [MAP].[T_TRANS_VENDOR] SET NEW_VENDOR_ID = 'V0198' WHERE LEGACY_VENDOR_ID = 'COONINDU' AND DATA_FOLDER_ID = 'sampl'</v>
      </c>
      <c r="F197" t="str">
        <f t="shared" si="10"/>
        <v>Changed</v>
      </c>
      <c r="G197" t="str">
        <f t="shared" si="11"/>
        <v>-</v>
      </c>
    </row>
    <row r="198" spans="1:7" x14ac:dyDescent="0.25">
      <c r="A198" s="2" t="s">
        <v>1</v>
      </c>
      <c r="B198" s="9" t="s">
        <v>235</v>
      </c>
      <c r="C198" t="s">
        <v>1237</v>
      </c>
      <c r="D198" s="5" t="s">
        <v>2235</v>
      </c>
      <c r="E198" t="str">
        <f t="shared" si="9"/>
        <v>UPDATE [MAP].[T_TRANS_VENDOR] SET NEW_VENDOR_ID = 'V0199' WHERE LEGACY_VENDOR_ID = 'COOPELEC' AND DATA_FOLDER_ID = 'sampl'</v>
      </c>
      <c r="F198" t="str">
        <f t="shared" si="10"/>
        <v>Changed</v>
      </c>
      <c r="G198" t="str">
        <f t="shared" si="11"/>
        <v>-</v>
      </c>
    </row>
    <row r="199" spans="1:7" x14ac:dyDescent="0.25">
      <c r="A199" s="2" t="s">
        <v>1</v>
      </c>
      <c r="B199" s="9" t="s">
        <v>236</v>
      </c>
      <c r="C199" t="s">
        <v>1238</v>
      </c>
      <c r="D199" s="5" t="s">
        <v>2236</v>
      </c>
      <c r="E199" t="str">
        <f t="shared" si="9"/>
        <v>UPDATE [MAP].[T_TRANS_VENDOR] SET NEW_VENDOR_ID = 'V0200' WHERE LEGACY_VENDOR_ID = 'COOPER' AND DATA_FOLDER_ID = 'sampl'</v>
      </c>
      <c r="F199" t="str">
        <f t="shared" si="10"/>
        <v>Changed</v>
      </c>
      <c r="G199" t="str">
        <f t="shared" si="11"/>
        <v>-</v>
      </c>
    </row>
    <row r="200" spans="1:7" x14ac:dyDescent="0.25">
      <c r="A200" s="2" t="s">
        <v>1</v>
      </c>
      <c r="B200" s="9" t="s">
        <v>237</v>
      </c>
      <c r="C200" t="s">
        <v>1239</v>
      </c>
      <c r="D200" s="5" t="s">
        <v>2237</v>
      </c>
      <c r="E200" t="str">
        <f t="shared" si="9"/>
        <v>UPDATE [MAP].[T_TRANS_VENDOR] SET NEW_VENDOR_ID = 'V0201' WHERE LEGACY_VENDOR_ID = 'COPYFAX' AND DATA_FOLDER_ID = 'sampl'</v>
      </c>
      <c r="F200" t="str">
        <f t="shared" si="10"/>
        <v>Changed</v>
      </c>
      <c r="G200" t="str">
        <f t="shared" si="11"/>
        <v>-</v>
      </c>
    </row>
    <row r="201" spans="1:7" x14ac:dyDescent="0.25">
      <c r="A201" s="2" t="s">
        <v>1</v>
      </c>
      <c r="B201" s="9" t="s">
        <v>238</v>
      </c>
      <c r="C201" t="s">
        <v>1240</v>
      </c>
      <c r="D201" s="5" t="s">
        <v>2238</v>
      </c>
      <c r="E201" t="str">
        <f t="shared" si="9"/>
        <v>UPDATE [MAP].[T_TRANS_VENDOR] SET NEW_VENDOR_ID = 'V0202' WHERE LEGACY_VENDOR_ID = 'CORADOS' AND DATA_FOLDER_ID = 'sampl'</v>
      </c>
      <c r="F201" t="str">
        <f t="shared" si="10"/>
        <v>Changed</v>
      </c>
      <c r="G201" t="str">
        <f t="shared" si="11"/>
        <v>-</v>
      </c>
    </row>
    <row r="202" spans="1:7" x14ac:dyDescent="0.25">
      <c r="A202" s="2" t="s">
        <v>1</v>
      </c>
      <c r="B202" s="9" t="s">
        <v>239</v>
      </c>
      <c r="C202" t="s">
        <v>1241</v>
      </c>
      <c r="D202" s="5" t="s">
        <v>2239</v>
      </c>
      <c r="E202" t="str">
        <f t="shared" si="9"/>
        <v>UPDATE [MAP].[T_TRANS_VENDOR] SET NEW_VENDOR_ID = 'V0203' WHERE LEGACY_VENDOR_ID = 'COSGROVE' AND DATA_FOLDER_ID = 'sampl'</v>
      </c>
      <c r="F202" t="str">
        <f t="shared" si="10"/>
        <v>Changed</v>
      </c>
      <c r="G202" t="str">
        <f t="shared" si="11"/>
        <v>-</v>
      </c>
    </row>
    <row r="203" spans="1:7" x14ac:dyDescent="0.25">
      <c r="A203" s="2" t="s">
        <v>1</v>
      </c>
      <c r="B203" s="9" t="s">
        <v>240</v>
      </c>
      <c r="C203" t="s">
        <v>1242</v>
      </c>
      <c r="D203" s="5" t="s">
        <v>2240</v>
      </c>
      <c r="E203" t="str">
        <f t="shared" si="9"/>
        <v>UPDATE [MAP].[T_TRANS_VENDOR] SET NEW_VENDOR_ID = 'V0205' WHERE LEGACY_VENDOR_ID = 'COSTDUMP' AND DATA_FOLDER_ID = 'sampl'</v>
      </c>
      <c r="F203" t="str">
        <f t="shared" si="10"/>
        <v>Changed</v>
      </c>
      <c r="G203" t="str">
        <f t="shared" si="11"/>
        <v>-</v>
      </c>
    </row>
    <row r="204" spans="1:7" x14ac:dyDescent="0.25">
      <c r="A204" s="2" t="s">
        <v>1</v>
      </c>
      <c r="B204" s="9" t="s">
        <v>241</v>
      </c>
      <c r="C204" t="s">
        <v>1243</v>
      </c>
      <c r="D204" s="5" t="s">
        <v>2241</v>
      </c>
      <c r="E204" t="str">
        <f t="shared" si="9"/>
        <v>UPDATE [MAP].[T_TRANS_VENDOR] SET NEW_VENDOR_ID = 'V0206' WHERE LEGACY_VENDOR_ID = 'COUNTRYSID' AND DATA_FOLDER_ID = 'sampl'</v>
      </c>
      <c r="F204" t="str">
        <f t="shared" si="10"/>
        <v>Changed</v>
      </c>
      <c r="G204" t="str">
        <f t="shared" si="11"/>
        <v>-</v>
      </c>
    </row>
    <row r="205" spans="1:7" x14ac:dyDescent="0.25">
      <c r="A205" s="2" t="s">
        <v>1</v>
      </c>
      <c r="B205" s="9" t="s">
        <v>242</v>
      </c>
      <c r="C205" t="s">
        <v>1244</v>
      </c>
      <c r="D205" s="5" t="s">
        <v>2242</v>
      </c>
      <c r="E205" t="str">
        <f t="shared" si="9"/>
        <v>UPDATE [MAP].[T_TRANS_VENDOR] SET NEW_VENDOR_ID = 'V0207' WHERE LEGACY_VENDOR_ID = 'CPRANKIN' AND DATA_FOLDER_ID = 'sampl'</v>
      </c>
      <c r="F205" t="str">
        <f t="shared" si="10"/>
        <v>Changed</v>
      </c>
      <c r="G205" t="str">
        <f t="shared" si="11"/>
        <v>-</v>
      </c>
    </row>
    <row r="206" spans="1:7" x14ac:dyDescent="0.25">
      <c r="A206" s="2" t="s">
        <v>1</v>
      </c>
      <c r="B206" s="9" t="s">
        <v>243</v>
      </c>
      <c r="C206" t="s">
        <v>1245</v>
      </c>
      <c r="D206" s="5" t="s">
        <v>2243</v>
      </c>
      <c r="E206" t="str">
        <f t="shared" si="9"/>
        <v>UPDATE [MAP].[T_TRANS_VENDOR] SET NEW_VENDOR_ID = 'V0209' WHERE LEGACY_VENDOR_ID = 'CRESTFLO' AND DATA_FOLDER_ID = 'sampl'</v>
      </c>
      <c r="F206" t="str">
        <f t="shared" si="10"/>
        <v>Changed</v>
      </c>
      <c r="G206" t="str">
        <f t="shared" si="11"/>
        <v>-</v>
      </c>
    </row>
    <row r="207" spans="1:7" x14ac:dyDescent="0.25">
      <c r="A207" s="2" t="s">
        <v>1</v>
      </c>
      <c r="B207" s="9" t="s">
        <v>244</v>
      </c>
      <c r="C207" t="s">
        <v>1246</v>
      </c>
      <c r="D207" s="5" t="s">
        <v>2244</v>
      </c>
      <c r="E207" t="str">
        <f t="shared" ref="E207:E270" si="12">"UPDATE "&amp;$E$3&amp;" SET NEW_VENDOR_ID = '"&amp;D207&amp;"' WHERE LEGACY_VENDOR_ID = '"&amp;B207&amp;"' AND DATA_FOLDER_ID = '"&amp;$A207&amp;"'"</f>
        <v>UPDATE [MAP].[T_TRANS_VENDOR] SET NEW_VENDOR_ID = 'V0210' WHERE LEGACY_VENDOR_ID = 'CROWLEY0' AND DATA_FOLDER_ID = 'sampl'</v>
      </c>
      <c r="F207" t="str">
        <f t="shared" ref="F207:F270" si="13">IF(B207&lt;&gt;D207,"Changed","-")</f>
        <v>Changed</v>
      </c>
      <c r="G207" t="str">
        <f t="shared" ref="G207:G270" si="14">IF(B207="","Hide","-")</f>
        <v>-</v>
      </c>
    </row>
    <row r="208" spans="1:7" x14ac:dyDescent="0.25">
      <c r="A208" s="2" t="s">
        <v>1</v>
      </c>
      <c r="B208" s="9" t="s">
        <v>245</v>
      </c>
      <c r="C208" t="s">
        <v>1247</v>
      </c>
      <c r="D208" s="5" t="s">
        <v>2245</v>
      </c>
      <c r="E208" t="str">
        <f t="shared" si="12"/>
        <v>UPDATE [MAP].[T_TRANS_VENDOR] SET NEW_VENDOR_ID = 'V0211' WHERE LEGACY_VENDOR_ID = 'CRYOASSO' AND DATA_FOLDER_ID = 'sampl'</v>
      </c>
      <c r="F208" t="str">
        <f t="shared" si="13"/>
        <v>Changed</v>
      </c>
      <c r="G208" t="str">
        <f t="shared" si="14"/>
        <v>-</v>
      </c>
    </row>
    <row r="209" spans="1:7" x14ac:dyDescent="0.25">
      <c r="A209" s="2" t="s">
        <v>1</v>
      </c>
      <c r="B209" s="9" t="s">
        <v>246</v>
      </c>
      <c r="C209" t="s">
        <v>1248</v>
      </c>
      <c r="D209" s="5" t="s">
        <v>2246</v>
      </c>
      <c r="E209" t="str">
        <f t="shared" si="12"/>
        <v>UPDATE [MAP].[T_TRANS_VENDOR] SET NEW_VENDOR_ID = 'V0212' WHERE LEGACY_VENDOR_ID = 'CRYSCLEA' AND DATA_FOLDER_ID = 'sampl'</v>
      </c>
      <c r="F209" t="str">
        <f t="shared" si="13"/>
        <v>Changed</v>
      </c>
      <c r="G209" t="str">
        <f t="shared" si="14"/>
        <v>-</v>
      </c>
    </row>
    <row r="210" spans="1:7" x14ac:dyDescent="0.25">
      <c r="A210" s="2" t="s">
        <v>1</v>
      </c>
      <c r="B210" s="9" t="s">
        <v>247</v>
      </c>
      <c r="C210" t="s">
        <v>1249</v>
      </c>
      <c r="D210" s="5" t="s">
        <v>2247</v>
      </c>
      <c r="E210" t="str">
        <f t="shared" si="12"/>
        <v>UPDATE [MAP].[T_TRANS_VENDOR] SET NEW_VENDOR_ID = 'V0213' WHERE LEGACY_VENDOR_ID = 'CTCORPOR' AND DATA_FOLDER_ID = 'sampl'</v>
      </c>
      <c r="F210" t="str">
        <f t="shared" si="13"/>
        <v>Changed</v>
      </c>
      <c r="G210" t="str">
        <f t="shared" si="14"/>
        <v>-</v>
      </c>
    </row>
    <row r="211" spans="1:7" x14ac:dyDescent="0.25">
      <c r="A211" s="2" t="s">
        <v>1</v>
      </c>
      <c r="B211" s="9" t="s">
        <v>248</v>
      </c>
      <c r="C211" t="s">
        <v>1250</v>
      </c>
      <c r="D211" s="5" t="s">
        <v>2248</v>
      </c>
      <c r="E211" t="str">
        <f t="shared" si="12"/>
        <v>UPDATE [MAP].[T_TRANS_VENDOR] SET NEW_VENDOR_ID = 'V0214' WHERE LEGACY_VENDOR_ID = 'CURECRET' AND DATA_FOLDER_ID = 'sampl'</v>
      </c>
      <c r="F211" t="str">
        <f t="shared" si="13"/>
        <v>Changed</v>
      </c>
      <c r="G211" t="str">
        <f t="shared" si="14"/>
        <v>-</v>
      </c>
    </row>
    <row r="212" spans="1:7" x14ac:dyDescent="0.25">
      <c r="A212" s="2" t="s">
        <v>1</v>
      </c>
      <c r="B212" s="9" t="s">
        <v>249</v>
      </c>
      <c r="C212" t="s">
        <v>1251</v>
      </c>
      <c r="D212" s="5" t="s">
        <v>2249</v>
      </c>
      <c r="E212" t="str">
        <f t="shared" si="12"/>
        <v>UPDATE [MAP].[T_TRANS_VENDOR] SET NEW_VENDOR_ID = 'V0215' WHERE LEGACY_VENDOR_ID = 'CUSTEXT' AND DATA_FOLDER_ID = 'sampl'</v>
      </c>
      <c r="F212" t="str">
        <f t="shared" si="13"/>
        <v>Changed</v>
      </c>
      <c r="G212" t="str">
        <f t="shared" si="14"/>
        <v>-</v>
      </c>
    </row>
    <row r="213" spans="1:7" x14ac:dyDescent="0.25">
      <c r="A213" s="2" t="s">
        <v>1</v>
      </c>
      <c r="B213" s="9" t="s">
        <v>250</v>
      </c>
      <c r="C213" t="s">
        <v>1252</v>
      </c>
      <c r="D213" s="5" t="s">
        <v>2250</v>
      </c>
      <c r="E213" t="str">
        <f t="shared" si="12"/>
        <v>UPDATE [MAP].[T_TRANS_VENDOR] SET NEW_VENDOR_ID = 'V0216' WHERE LEGACY_VENDOR_ID = 'CZACHOR' AND DATA_FOLDER_ID = 'sampl'</v>
      </c>
      <c r="F213" t="str">
        <f t="shared" si="13"/>
        <v>Changed</v>
      </c>
      <c r="G213" t="str">
        <f t="shared" si="14"/>
        <v>-</v>
      </c>
    </row>
    <row r="214" spans="1:7" x14ac:dyDescent="0.25">
      <c r="A214" s="2" t="s">
        <v>1</v>
      </c>
      <c r="B214" s="9" t="s">
        <v>251</v>
      </c>
      <c r="C214" t="s">
        <v>1253</v>
      </c>
      <c r="D214" s="5" t="s">
        <v>2251</v>
      </c>
      <c r="E214" t="str">
        <f t="shared" si="12"/>
        <v>UPDATE [MAP].[T_TRANS_VENDOR] SET NEW_VENDOR_ID = 'V0217' WHERE LEGACY_VENDOR_ID = 'D&amp;LWELDI' AND DATA_FOLDER_ID = 'sampl'</v>
      </c>
      <c r="F214" t="str">
        <f t="shared" si="13"/>
        <v>Changed</v>
      </c>
      <c r="G214" t="str">
        <f t="shared" si="14"/>
        <v>-</v>
      </c>
    </row>
    <row r="215" spans="1:7" x14ac:dyDescent="0.25">
      <c r="A215" s="2" t="s">
        <v>1</v>
      </c>
      <c r="B215" s="9" t="s">
        <v>252</v>
      </c>
      <c r="C215" t="s">
        <v>1254</v>
      </c>
      <c r="D215" s="5" t="s">
        <v>2252</v>
      </c>
      <c r="E215" t="str">
        <f t="shared" si="12"/>
        <v>UPDATE [MAP].[T_TRANS_VENDOR] SET NEW_VENDOR_ID = 'V0218' WHERE LEGACY_VENDOR_ID = 'D&amp;MCONST' AND DATA_FOLDER_ID = 'sampl'</v>
      </c>
      <c r="F215" t="str">
        <f t="shared" si="13"/>
        <v>Changed</v>
      </c>
      <c r="G215" t="str">
        <f t="shared" si="14"/>
        <v>-</v>
      </c>
    </row>
    <row r="216" spans="1:7" x14ac:dyDescent="0.25">
      <c r="A216" s="2" t="s">
        <v>1</v>
      </c>
      <c r="B216" s="9" t="s">
        <v>253</v>
      </c>
      <c r="C216" t="s">
        <v>1255</v>
      </c>
      <c r="D216" s="5" t="s">
        <v>2253</v>
      </c>
      <c r="E216" t="str">
        <f t="shared" si="12"/>
        <v>UPDATE [MAP].[T_TRANS_VENDOR] SET NEW_VENDOR_ID = 'V0219' WHERE LEGACY_VENDOR_ID = 'DABLACK' AND DATA_FOLDER_ID = 'sampl'</v>
      </c>
      <c r="F216" t="str">
        <f t="shared" si="13"/>
        <v>Changed</v>
      </c>
      <c r="G216" t="str">
        <f t="shared" si="14"/>
        <v>-</v>
      </c>
    </row>
    <row r="217" spans="1:7" x14ac:dyDescent="0.25">
      <c r="A217" s="2" t="s">
        <v>1</v>
      </c>
      <c r="B217" s="9" t="s">
        <v>254</v>
      </c>
      <c r="C217" t="s">
        <v>1256</v>
      </c>
      <c r="D217" s="5" t="s">
        <v>2254</v>
      </c>
      <c r="E217" t="str">
        <f t="shared" si="12"/>
        <v>UPDATE [MAP].[T_TRANS_VENDOR] SET NEW_VENDOR_ID = 'V0220' WHERE LEGACY_VENDOR_ID = 'DANBERCO' AND DATA_FOLDER_ID = 'sampl'</v>
      </c>
      <c r="F217" t="str">
        <f t="shared" si="13"/>
        <v>Changed</v>
      </c>
      <c r="G217" t="str">
        <f t="shared" si="14"/>
        <v>-</v>
      </c>
    </row>
    <row r="218" spans="1:7" x14ac:dyDescent="0.25">
      <c r="A218" s="2" t="s">
        <v>1</v>
      </c>
      <c r="B218" s="9" t="s">
        <v>255</v>
      </c>
      <c r="C218" t="s">
        <v>1257</v>
      </c>
      <c r="D218" s="5" t="s">
        <v>2255</v>
      </c>
      <c r="E218" t="str">
        <f t="shared" si="12"/>
        <v>UPDATE [MAP].[T_TRANS_VENDOR] SET NEW_VENDOR_ID = 'V0221' WHERE LEGACY_VENDOR_ID = 'DANCHECK' AND DATA_FOLDER_ID = 'sampl'</v>
      </c>
      <c r="F218" t="str">
        <f t="shared" si="13"/>
        <v>Changed</v>
      </c>
      <c r="G218" t="str">
        <f t="shared" si="14"/>
        <v>-</v>
      </c>
    </row>
    <row r="219" spans="1:7" x14ac:dyDescent="0.25">
      <c r="A219" s="2" t="s">
        <v>1</v>
      </c>
      <c r="B219" s="9" t="s">
        <v>256</v>
      </c>
      <c r="C219" t="s">
        <v>1258</v>
      </c>
      <c r="D219" s="5" t="s">
        <v>2256</v>
      </c>
      <c r="E219" t="str">
        <f t="shared" si="12"/>
        <v>UPDATE [MAP].[T_TRANS_VENDOR] SET NEW_VENDOR_ID = 'V0222' WHERE LEGACY_VENDOR_ID = 'DANGUINT' AND DATA_FOLDER_ID = 'sampl'</v>
      </c>
      <c r="F219" t="str">
        <f t="shared" si="13"/>
        <v>Changed</v>
      </c>
      <c r="G219" t="str">
        <f t="shared" si="14"/>
        <v>-</v>
      </c>
    </row>
    <row r="220" spans="1:7" x14ac:dyDescent="0.25">
      <c r="A220" s="2" t="s">
        <v>1</v>
      </c>
      <c r="B220" s="9" t="s">
        <v>257</v>
      </c>
      <c r="C220" t="s">
        <v>1259</v>
      </c>
      <c r="D220" s="5" t="s">
        <v>2257</v>
      </c>
      <c r="E220" t="str">
        <f t="shared" si="12"/>
        <v>UPDATE [MAP].[T_TRANS_VENDOR] SET NEW_VENDOR_ID = 'V0223' WHERE LEGACY_VENDOR_ID = 'DANNYPOR' AND DATA_FOLDER_ID = 'sampl'</v>
      </c>
      <c r="F220" t="str">
        <f t="shared" si="13"/>
        <v>Changed</v>
      </c>
      <c r="G220" t="str">
        <f t="shared" si="14"/>
        <v>-</v>
      </c>
    </row>
    <row r="221" spans="1:7" x14ac:dyDescent="0.25">
      <c r="A221" s="2" t="s">
        <v>1</v>
      </c>
      <c r="B221" s="9" t="s">
        <v>258</v>
      </c>
      <c r="C221" t="s">
        <v>1260</v>
      </c>
      <c r="D221" s="5" t="s">
        <v>2258</v>
      </c>
      <c r="E221" t="str">
        <f t="shared" si="12"/>
        <v>UPDATE [MAP].[T_TRANS_VENDOR] SET NEW_VENDOR_ID = 'V0224' WHERE LEGACY_VENDOR_ID = 'DANTEGUZ' AND DATA_FOLDER_ID = 'sampl'</v>
      </c>
      <c r="F221" t="str">
        <f t="shared" si="13"/>
        <v>Changed</v>
      </c>
      <c r="G221" t="str">
        <f t="shared" si="14"/>
        <v>-</v>
      </c>
    </row>
    <row r="222" spans="1:7" x14ac:dyDescent="0.25">
      <c r="A222" s="2" t="s">
        <v>1</v>
      </c>
      <c r="B222" s="9" t="s">
        <v>259</v>
      </c>
      <c r="C222" t="s">
        <v>1261</v>
      </c>
      <c r="D222" s="5" t="s">
        <v>2259</v>
      </c>
      <c r="E222" t="str">
        <f t="shared" si="12"/>
        <v>UPDATE [MAP].[T_TRANS_VENDOR] SET NEW_VENDOR_ID = 'V0225' WHERE LEGACY_VENDOR_ID = 'DATOMPRO' AND DATA_FOLDER_ID = 'sampl'</v>
      </c>
      <c r="F222" t="str">
        <f t="shared" si="13"/>
        <v>Changed</v>
      </c>
      <c r="G222" t="str">
        <f t="shared" si="14"/>
        <v>-</v>
      </c>
    </row>
    <row r="223" spans="1:7" x14ac:dyDescent="0.25">
      <c r="A223" s="2" t="s">
        <v>1</v>
      </c>
      <c r="B223" s="9" t="s">
        <v>260</v>
      </c>
      <c r="C223" t="s">
        <v>1262</v>
      </c>
      <c r="D223" s="5" t="s">
        <v>2260</v>
      </c>
      <c r="E223" t="str">
        <f t="shared" si="12"/>
        <v>UPDATE [MAP].[T_TRANS_VENDOR] SET NEW_VENDOR_ID = 'V0226' WHERE LEGACY_VENDOR_ID = 'DAVIDROU' AND DATA_FOLDER_ID = 'sampl'</v>
      </c>
      <c r="F223" t="str">
        <f t="shared" si="13"/>
        <v>Changed</v>
      </c>
      <c r="G223" t="str">
        <f t="shared" si="14"/>
        <v>-</v>
      </c>
    </row>
    <row r="224" spans="1:7" x14ac:dyDescent="0.25">
      <c r="A224" s="2" t="s">
        <v>1</v>
      </c>
      <c r="B224" s="9" t="s">
        <v>261</v>
      </c>
      <c r="C224" t="s">
        <v>1263</v>
      </c>
      <c r="D224" s="5" t="s">
        <v>2261</v>
      </c>
      <c r="E224" t="str">
        <f t="shared" si="12"/>
        <v>UPDATE [MAP].[T_TRANS_VENDOR] SET NEW_VENDOR_ID = 'V0228' WHERE LEGACY_VENDOR_ID = 'DEIHLVAU' AND DATA_FOLDER_ID = 'sampl'</v>
      </c>
      <c r="F224" t="str">
        <f t="shared" si="13"/>
        <v>Changed</v>
      </c>
      <c r="G224" t="str">
        <f t="shared" si="14"/>
        <v>-</v>
      </c>
    </row>
    <row r="225" spans="1:7" x14ac:dyDescent="0.25">
      <c r="A225" s="2" t="s">
        <v>1</v>
      </c>
      <c r="B225" s="9" t="s">
        <v>262</v>
      </c>
      <c r="C225" t="s">
        <v>1264</v>
      </c>
      <c r="D225" s="5" t="s">
        <v>2262</v>
      </c>
      <c r="E225" t="str">
        <f t="shared" si="12"/>
        <v>UPDATE [MAP].[T_TRANS_VENDOR] SET NEW_VENDOR_ID = 'V0229' WHERE LEGACY_VENDOR_ID = 'DELTACONT' AND DATA_FOLDER_ID = 'sampl'</v>
      </c>
      <c r="F225" t="str">
        <f t="shared" si="13"/>
        <v>Changed</v>
      </c>
      <c r="G225" t="str">
        <f t="shared" si="14"/>
        <v>-</v>
      </c>
    </row>
    <row r="226" spans="1:7" x14ac:dyDescent="0.25">
      <c r="A226" s="2" t="s">
        <v>1</v>
      </c>
      <c r="B226" s="9" t="s">
        <v>263</v>
      </c>
      <c r="C226" t="s">
        <v>1265</v>
      </c>
      <c r="D226" s="5" t="s">
        <v>2263</v>
      </c>
      <c r="E226" t="str">
        <f t="shared" si="12"/>
        <v>UPDATE [MAP].[T_TRANS_VENDOR] SET NEW_VENDOR_ID = 'V0230' WHERE LEGACY_VENDOR_ID = 'DEMORSON' AND DATA_FOLDER_ID = 'sampl'</v>
      </c>
      <c r="F226" t="str">
        <f t="shared" si="13"/>
        <v>Changed</v>
      </c>
      <c r="G226" t="str">
        <f t="shared" si="14"/>
        <v>-</v>
      </c>
    </row>
    <row r="227" spans="1:7" x14ac:dyDescent="0.25">
      <c r="A227" s="2" t="s">
        <v>1</v>
      </c>
      <c r="B227" s="9" t="s">
        <v>264</v>
      </c>
      <c r="C227" t="s">
        <v>1266</v>
      </c>
      <c r="D227" s="5" t="s">
        <v>2264</v>
      </c>
      <c r="E227" t="str">
        <f t="shared" si="12"/>
        <v>UPDATE [MAP].[T_TRANS_VENDOR] SET NEW_VENDOR_ID = 'V0231' WHERE LEGACY_VENDOR_ID = 'DEMPSEYU' AND DATA_FOLDER_ID = 'sampl'</v>
      </c>
      <c r="F227" t="str">
        <f t="shared" si="13"/>
        <v>Changed</v>
      </c>
      <c r="G227" t="str">
        <f t="shared" si="14"/>
        <v>-</v>
      </c>
    </row>
    <row r="228" spans="1:7" x14ac:dyDescent="0.25">
      <c r="A228" s="2" t="s">
        <v>1</v>
      </c>
      <c r="B228" s="9" t="s">
        <v>265</v>
      </c>
      <c r="C228" t="s">
        <v>1267</v>
      </c>
      <c r="D228" s="5" t="s">
        <v>2265</v>
      </c>
      <c r="E228" t="str">
        <f t="shared" si="12"/>
        <v>UPDATE [MAP].[T_TRANS_VENDOR] SET NEW_VENDOR_ID = 'V0232' WHERE LEGACY_VENDOR_ID = 'DERMANAS' AND DATA_FOLDER_ID = 'sampl'</v>
      </c>
      <c r="F228" t="str">
        <f t="shared" si="13"/>
        <v>Changed</v>
      </c>
      <c r="G228" t="str">
        <f t="shared" si="14"/>
        <v>-</v>
      </c>
    </row>
    <row r="229" spans="1:7" x14ac:dyDescent="0.25">
      <c r="A229" s="2" t="s">
        <v>1</v>
      </c>
      <c r="B229" s="9" t="s">
        <v>266</v>
      </c>
      <c r="C229" t="s">
        <v>1268</v>
      </c>
      <c r="D229" s="5" t="s">
        <v>2266</v>
      </c>
      <c r="E229" t="str">
        <f t="shared" si="12"/>
        <v>UPDATE [MAP].[T_TRANS_VENDOR] SET NEW_VENDOR_ID = 'V0233' WHERE LEGACY_VENDOR_ID = 'DESAVINO' AND DATA_FOLDER_ID = 'sampl'</v>
      </c>
      <c r="F229" t="str">
        <f t="shared" si="13"/>
        <v>Changed</v>
      </c>
      <c r="G229" t="str">
        <f t="shared" si="14"/>
        <v>-</v>
      </c>
    </row>
    <row r="230" spans="1:7" x14ac:dyDescent="0.25">
      <c r="A230" s="2" t="s">
        <v>1</v>
      </c>
      <c r="B230" s="9" t="s">
        <v>267</v>
      </c>
      <c r="C230" t="s">
        <v>1269</v>
      </c>
      <c r="D230" s="5" t="s">
        <v>2267</v>
      </c>
      <c r="E230" t="str">
        <f t="shared" si="12"/>
        <v>UPDATE [MAP].[T_TRANS_VENDOR] SET NEW_VENDOR_ID = 'V0234' WHERE LEGACY_VENDOR_ID = 'DESMGTGR' AND DATA_FOLDER_ID = 'sampl'</v>
      </c>
      <c r="F230" t="str">
        <f t="shared" si="13"/>
        <v>Changed</v>
      </c>
      <c r="G230" t="str">
        <f t="shared" si="14"/>
        <v>-</v>
      </c>
    </row>
    <row r="231" spans="1:7" x14ac:dyDescent="0.25">
      <c r="A231" s="2" t="s">
        <v>1</v>
      </c>
      <c r="B231" s="9" t="s">
        <v>268</v>
      </c>
      <c r="C231" t="s">
        <v>1270</v>
      </c>
      <c r="D231" s="5" t="s">
        <v>2268</v>
      </c>
      <c r="E231" t="str">
        <f t="shared" si="12"/>
        <v>UPDATE [MAP].[T_TRANS_VENDOR] SET NEW_VENDOR_ID = 'V0235' WHERE LEGACY_VENDOR_ID = 'DHGRIFFIN' AND DATA_FOLDER_ID = 'sampl'</v>
      </c>
      <c r="F231" t="str">
        <f t="shared" si="13"/>
        <v>Changed</v>
      </c>
      <c r="G231" t="str">
        <f t="shared" si="14"/>
        <v>-</v>
      </c>
    </row>
    <row r="232" spans="1:7" x14ac:dyDescent="0.25">
      <c r="A232" s="2" t="s">
        <v>1</v>
      </c>
      <c r="B232" s="9" t="s">
        <v>269</v>
      </c>
      <c r="C232" t="s">
        <v>1271</v>
      </c>
      <c r="D232" s="5" t="s">
        <v>2269</v>
      </c>
      <c r="E232" t="str">
        <f t="shared" si="12"/>
        <v>UPDATE [MAP].[T_TRANS_VENDOR] SET NEW_VENDOR_ID = 'V0236' WHERE LEGACY_VENDOR_ID = 'DIGITALB' AND DATA_FOLDER_ID = 'sampl'</v>
      </c>
      <c r="F232" t="str">
        <f t="shared" si="13"/>
        <v>Changed</v>
      </c>
      <c r="G232" t="str">
        <f t="shared" si="14"/>
        <v>-</v>
      </c>
    </row>
    <row r="233" spans="1:7" x14ac:dyDescent="0.25">
      <c r="A233" s="2" t="s">
        <v>1</v>
      </c>
      <c r="B233" s="9" t="s">
        <v>270</v>
      </c>
      <c r="C233" t="s">
        <v>1272</v>
      </c>
      <c r="D233" s="5" t="s">
        <v>2270</v>
      </c>
      <c r="E233" t="str">
        <f t="shared" si="12"/>
        <v>UPDATE [MAP].[T_TRANS_VENDOR] SET NEW_VENDOR_ID = 'V0237' WHERE LEGACY_VENDOR_ID = 'DIRLAMBR' AND DATA_FOLDER_ID = 'sampl'</v>
      </c>
      <c r="F233" t="str">
        <f t="shared" si="13"/>
        <v>Changed</v>
      </c>
      <c r="G233" t="str">
        <f t="shared" si="14"/>
        <v>-</v>
      </c>
    </row>
    <row r="234" spans="1:7" x14ac:dyDescent="0.25">
      <c r="A234" s="2" t="s">
        <v>1</v>
      </c>
      <c r="B234" s="9" t="s">
        <v>271</v>
      </c>
      <c r="C234" t="s">
        <v>1273</v>
      </c>
      <c r="D234" s="5" t="s">
        <v>2271</v>
      </c>
      <c r="E234" t="str">
        <f t="shared" si="12"/>
        <v>UPDATE [MAP].[T_TRANS_VENDOR] SET NEW_VENDOR_ID = 'V0238' WHERE LEGACY_VENDOR_ID = 'DISAGLOB' AND DATA_FOLDER_ID = 'sampl'</v>
      </c>
      <c r="F234" t="str">
        <f t="shared" si="13"/>
        <v>Changed</v>
      </c>
      <c r="G234" t="str">
        <f t="shared" si="14"/>
        <v>-</v>
      </c>
    </row>
    <row r="235" spans="1:7" x14ac:dyDescent="0.25">
      <c r="A235" s="2" t="s">
        <v>1</v>
      </c>
      <c r="B235" s="9" t="s">
        <v>272</v>
      </c>
      <c r="C235" t="s">
        <v>1274</v>
      </c>
      <c r="D235" s="5" t="s">
        <v>2272</v>
      </c>
      <c r="E235" t="str">
        <f t="shared" si="12"/>
        <v>UPDATE [MAP].[T_TRANS_VENDOR] SET NEW_VENDOR_ID = 'V0239' WHERE LEGACY_VENDOR_ID = 'DISASTER' AND DATA_FOLDER_ID = 'sampl'</v>
      </c>
      <c r="F235" t="str">
        <f t="shared" si="13"/>
        <v>Changed</v>
      </c>
      <c r="G235" t="str">
        <f t="shared" si="14"/>
        <v>-</v>
      </c>
    </row>
    <row r="236" spans="1:7" x14ac:dyDescent="0.25">
      <c r="A236" s="2" t="s">
        <v>1</v>
      </c>
      <c r="B236" s="9" t="s">
        <v>273</v>
      </c>
      <c r="C236" t="s">
        <v>1275</v>
      </c>
      <c r="D236" s="5" t="s">
        <v>2273</v>
      </c>
      <c r="E236" t="str">
        <f t="shared" si="12"/>
        <v>UPDATE [MAP].[T_TRANS_VENDOR] SET NEW_VENDOR_ID = 'V0240' WHERE LEGACY_VENDOR_ID = 'DIVERSIF' AND DATA_FOLDER_ID = 'sampl'</v>
      </c>
      <c r="F236" t="str">
        <f t="shared" si="13"/>
        <v>Changed</v>
      </c>
      <c r="G236" t="str">
        <f t="shared" si="14"/>
        <v>-</v>
      </c>
    </row>
    <row r="237" spans="1:7" x14ac:dyDescent="0.25">
      <c r="A237" s="2" t="s">
        <v>1</v>
      </c>
      <c r="B237" s="9" t="s">
        <v>274</v>
      </c>
      <c r="C237" t="s">
        <v>1276</v>
      </c>
      <c r="D237" s="5" t="s">
        <v>2274</v>
      </c>
      <c r="E237" t="str">
        <f t="shared" si="12"/>
        <v>UPDATE [MAP].[T_TRANS_VENDOR] SET NEW_VENDOR_ID = 'V0241' WHERE LEGACY_VENDOR_ID = 'DJMCADCS' AND DATA_FOLDER_ID = 'sampl'</v>
      </c>
      <c r="F237" t="str">
        <f t="shared" si="13"/>
        <v>Changed</v>
      </c>
      <c r="G237" t="str">
        <f t="shared" si="14"/>
        <v>-</v>
      </c>
    </row>
    <row r="238" spans="1:7" x14ac:dyDescent="0.25">
      <c r="A238" s="2" t="s">
        <v>1</v>
      </c>
      <c r="B238" s="9" t="s">
        <v>275</v>
      </c>
      <c r="C238" t="s">
        <v>1277</v>
      </c>
      <c r="D238" s="5" t="s">
        <v>2275</v>
      </c>
      <c r="E238" t="str">
        <f t="shared" si="12"/>
        <v>UPDATE [MAP].[T_TRANS_VENDOR] SET NEW_VENDOR_ID = 'V0242' WHERE LEGACY_VENDOR_ID = 'DKSVIRTU' AND DATA_FOLDER_ID = 'sampl'</v>
      </c>
      <c r="F238" t="str">
        <f t="shared" si="13"/>
        <v>Changed</v>
      </c>
      <c r="G238" t="str">
        <f t="shared" si="14"/>
        <v>-</v>
      </c>
    </row>
    <row r="239" spans="1:7" x14ac:dyDescent="0.25">
      <c r="A239" s="2" t="s">
        <v>1</v>
      </c>
      <c r="B239" s="9" t="s">
        <v>276</v>
      </c>
      <c r="C239" t="s">
        <v>1278</v>
      </c>
      <c r="D239" s="5" t="s">
        <v>2276</v>
      </c>
      <c r="E239" t="str">
        <f t="shared" si="12"/>
        <v>UPDATE [MAP].[T_TRANS_VENDOR] SET NEW_VENDOR_ID = 'V0243' WHERE LEGACY_VENDOR_ID = 'DLCOUCH' AND DATA_FOLDER_ID = 'sampl'</v>
      </c>
      <c r="F239" t="str">
        <f t="shared" si="13"/>
        <v>Changed</v>
      </c>
      <c r="G239" t="str">
        <f t="shared" si="14"/>
        <v>-</v>
      </c>
    </row>
    <row r="240" spans="1:7" x14ac:dyDescent="0.25">
      <c r="A240" s="2" t="s">
        <v>1</v>
      </c>
      <c r="B240" s="9" t="s">
        <v>277</v>
      </c>
      <c r="C240" t="s">
        <v>1279</v>
      </c>
      <c r="D240" s="5" t="s">
        <v>2277</v>
      </c>
      <c r="E240" t="str">
        <f t="shared" si="12"/>
        <v>UPDATE [MAP].[T_TRANS_VENDOR] SET NEW_VENDOR_ID = 'V0244' WHERE LEGACY_VENDOR_ID = 'DLKROPF' AND DATA_FOLDER_ID = 'sampl'</v>
      </c>
      <c r="F240" t="str">
        <f t="shared" si="13"/>
        <v>Changed</v>
      </c>
      <c r="G240" t="str">
        <f t="shared" si="14"/>
        <v>-</v>
      </c>
    </row>
    <row r="241" spans="1:7" x14ac:dyDescent="0.25">
      <c r="A241" s="2" t="s">
        <v>1</v>
      </c>
      <c r="B241" s="9" t="s">
        <v>278</v>
      </c>
      <c r="C241" t="s">
        <v>1280</v>
      </c>
      <c r="D241" s="5" t="s">
        <v>2278</v>
      </c>
      <c r="E241" t="str">
        <f t="shared" si="12"/>
        <v>UPDATE [MAP].[T_TRANS_VENDOR] SET NEW_VENDOR_ID = 'V0245' WHERE LEGACY_VENDOR_ID = 'DLMORGAN' AND DATA_FOLDER_ID = 'sampl'</v>
      </c>
      <c r="F241" t="str">
        <f t="shared" si="13"/>
        <v>Changed</v>
      </c>
      <c r="G241" t="str">
        <f t="shared" si="14"/>
        <v>-</v>
      </c>
    </row>
    <row r="242" spans="1:7" x14ac:dyDescent="0.25">
      <c r="A242" s="2" t="s">
        <v>1</v>
      </c>
      <c r="B242" s="9" t="s">
        <v>279</v>
      </c>
      <c r="C242" t="s">
        <v>1281</v>
      </c>
      <c r="D242" s="5" t="s">
        <v>2279</v>
      </c>
      <c r="E242" t="str">
        <f t="shared" si="12"/>
        <v>UPDATE [MAP].[T_TRANS_VENDOR] SET NEW_VENDOR_ID = 'V0246' WHERE LEGACY_VENDOR_ID = 'DMIMETALS' AND DATA_FOLDER_ID = 'sampl'</v>
      </c>
      <c r="F242" t="str">
        <f t="shared" si="13"/>
        <v>Changed</v>
      </c>
      <c r="G242" t="str">
        <f t="shared" si="14"/>
        <v>-</v>
      </c>
    </row>
    <row r="243" spans="1:7" x14ac:dyDescent="0.25">
      <c r="A243" s="2" t="s">
        <v>1</v>
      </c>
      <c r="B243" s="9" t="s">
        <v>280</v>
      </c>
      <c r="C243" t="s">
        <v>1282</v>
      </c>
      <c r="D243" s="5" t="s">
        <v>2280</v>
      </c>
      <c r="E243" t="str">
        <f t="shared" si="12"/>
        <v>UPDATE [MAP].[T_TRANS_VENDOR] SET NEW_VENDOR_ID = 'V0247' WHERE LEGACY_VENDOR_ID = 'DOCKDOOR' AND DATA_FOLDER_ID = 'sampl'</v>
      </c>
      <c r="F243" t="str">
        <f t="shared" si="13"/>
        <v>Changed</v>
      </c>
      <c r="G243" t="str">
        <f t="shared" si="14"/>
        <v>-</v>
      </c>
    </row>
    <row r="244" spans="1:7" x14ac:dyDescent="0.25">
      <c r="A244" s="2" t="s">
        <v>1</v>
      </c>
      <c r="B244" s="9" t="s">
        <v>281</v>
      </c>
      <c r="C244" t="s">
        <v>1283</v>
      </c>
      <c r="D244" s="5" t="s">
        <v>2281</v>
      </c>
      <c r="E244" t="str">
        <f t="shared" si="12"/>
        <v>UPDATE [MAP].[T_TRANS_VENDOR] SET NEW_VENDOR_ID = 'V0248' WHERE LEGACY_VENDOR_ID = 'DODGECON' AND DATA_FOLDER_ID = 'sampl'</v>
      </c>
      <c r="F244" t="str">
        <f t="shared" si="13"/>
        <v>Changed</v>
      </c>
      <c r="G244" t="str">
        <f t="shared" si="14"/>
        <v>-</v>
      </c>
    </row>
    <row r="245" spans="1:7" x14ac:dyDescent="0.25">
      <c r="A245" s="2" t="s">
        <v>1</v>
      </c>
      <c r="B245" s="9" t="s">
        <v>282</v>
      </c>
      <c r="C245" t="s">
        <v>1284</v>
      </c>
      <c r="D245" s="5" t="s">
        <v>2282</v>
      </c>
      <c r="E245" t="str">
        <f t="shared" si="12"/>
        <v>UPDATE [MAP].[T_TRANS_VENDOR] SET NEW_VENDOR_ID = 'V0249' WHERE LEGACY_VENDOR_ID = 'DODGEDAT' AND DATA_FOLDER_ID = 'sampl'</v>
      </c>
      <c r="F245" t="str">
        <f t="shared" si="13"/>
        <v>Changed</v>
      </c>
      <c r="G245" t="str">
        <f t="shared" si="14"/>
        <v>-</v>
      </c>
    </row>
    <row r="246" spans="1:7" x14ac:dyDescent="0.25">
      <c r="A246" s="2" t="s">
        <v>1</v>
      </c>
      <c r="B246" s="9" t="s">
        <v>283</v>
      </c>
      <c r="C246" t="s">
        <v>1285</v>
      </c>
      <c r="D246" s="5" t="s">
        <v>2283</v>
      </c>
      <c r="E246" t="str">
        <f t="shared" si="12"/>
        <v>UPDATE [MAP].[T_TRANS_VENDOR] SET NEW_VENDOR_ID = 'V0250' WHERE LEGACY_VENDOR_ID = 'DOUGEXPL' AND DATA_FOLDER_ID = 'sampl'</v>
      </c>
      <c r="F246" t="str">
        <f t="shared" si="13"/>
        <v>Changed</v>
      </c>
      <c r="G246" t="str">
        <f t="shared" si="14"/>
        <v>-</v>
      </c>
    </row>
    <row r="247" spans="1:7" x14ac:dyDescent="0.25">
      <c r="A247" s="2" t="s">
        <v>1</v>
      </c>
      <c r="B247" s="9" t="s">
        <v>284</v>
      </c>
      <c r="C247" t="s">
        <v>1286</v>
      </c>
      <c r="D247" s="5" t="s">
        <v>2284</v>
      </c>
      <c r="E247" t="str">
        <f t="shared" si="12"/>
        <v>UPDATE [MAP].[T_TRANS_VENDOR] SET NEW_VENDOR_ID = 'V0251' WHERE LEGACY_VENDOR_ID = 'DRAPEMAS' AND DATA_FOLDER_ID = 'sampl'</v>
      </c>
      <c r="F247" t="str">
        <f t="shared" si="13"/>
        <v>Changed</v>
      </c>
      <c r="G247" t="str">
        <f t="shared" si="14"/>
        <v>-</v>
      </c>
    </row>
    <row r="248" spans="1:7" x14ac:dyDescent="0.25">
      <c r="A248" s="2" t="s">
        <v>1</v>
      </c>
      <c r="B248" s="9" t="s">
        <v>285</v>
      </c>
      <c r="C248" t="s">
        <v>1287</v>
      </c>
      <c r="D248" s="5" t="s">
        <v>2285</v>
      </c>
      <c r="E248" t="str">
        <f t="shared" si="12"/>
        <v>UPDATE [MAP].[T_TRANS_VENDOR] SET NEW_VENDOR_ID = 'V0252' WHERE LEGACY_VENDOR_ID = 'DRCACQ' AND DATA_FOLDER_ID = 'sampl'</v>
      </c>
      <c r="F248" t="str">
        <f t="shared" si="13"/>
        <v>Changed</v>
      </c>
      <c r="G248" t="str">
        <f t="shared" si="14"/>
        <v>-</v>
      </c>
    </row>
    <row r="249" spans="1:7" x14ac:dyDescent="0.25">
      <c r="A249" s="2" t="s">
        <v>1</v>
      </c>
      <c r="B249" s="9" t="s">
        <v>286</v>
      </c>
      <c r="C249" t="s">
        <v>1288</v>
      </c>
      <c r="D249" s="5" t="s">
        <v>2286</v>
      </c>
      <c r="E249" t="str">
        <f t="shared" si="12"/>
        <v>UPDATE [MAP].[T_TRANS_VENDOR] SET NEW_VENDOR_ID = 'V0253' WHERE LEGACY_VENDOR_ID = 'DRIVEKOR' AND DATA_FOLDER_ID = 'sampl'</v>
      </c>
      <c r="F249" t="str">
        <f t="shared" si="13"/>
        <v>Changed</v>
      </c>
      <c r="G249" t="str">
        <f t="shared" si="14"/>
        <v>-</v>
      </c>
    </row>
    <row r="250" spans="1:7" x14ac:dyDescent="0.25">
      <c r="A250" s="2" t="s">
        <v>1</v>
      </c>
      <c r="B250" s="9" t="s">
        <v>287</v>
      </c>
      <c r="C250" t="s">
        <v>1289</v>
      </c>
      <c r="D250" s="5" t="s">
        <v>2287</v>
      </c>
      <c r="E250" t="str">
        <f t="shared" si="12"/>
        <v>UPDATE [MAP].[T_TRANS_VENDOR] SET NEW_VENDOR_ID = 'V0254' WHERE LEGACY_VENDOR_ID = 'DUGGANAN' AND DATA_FOLDER_ID = 'sampl'</v>
      </c>
      <c r="F250" t="str">
        <f t="shared" si="13"/>
        <v>Changed</v>
      </c>
      <c r="G250" t="str">
        <f t="shared" si="14"/>
        <v>-</v>
      </c>
    </row>
    <row r="251" spans="1:7" x14ac:dyDescent="0.25">
      <c r="A251" s="2" t="s">
        <v>1</v>
      </c>
      <c r="B251" s="9" t="s">
        <v>288</v>
      </c>
      <c r="C251" t="s">
        <v>1290</v>
      </c>
      <c r="D251" s="5" t="s">
        <v>2288</v>
      </c>
      <c r="E251" t="str">
        <f t="shared" si="12"/>
        <v>UPDATE [MAP].[T_TRANS_VENDOR] SET NEW_VENDOR_ID = 'V0255' WHERE LEGACY_VENDOR_ID = 'DUNLUMBE' AND DATA_FOLDER_ID = 'sampl'</v>
      </c>
      <c r="F251" t="str">
        <f t="shared" si="13"/>
        <v>Changed</v>
      </c>
      <c r="G251" t="str">
        <f t="shared" si="14"/>
        <v>-</v>
      </c>
    </row>
    <row r="252" spans="1:7" x14ac:dyDescent="0.25">
      <c r="A252" s="2" t="s">
        <v>1</v>
      </c>
      <c r="B252" s="9" t="s">
        <v>289</v>
      </c>
      <c r="C252" t="s">
        <v>1291</v>
      </c>
      <c r="D252" s="5" t="s">
        <v>2289</v>
      </c>
      <c r="E252" t="str">
        <f t="shared" si="12"/>
        <v>UPDATE [MAP].[T_TRANS_VENDOR] SET NEW_VENDOR_ID = 'V0256' WHERE LEGACY_VENDOR_ID = 'DUNROOFI' AND DATA_FOLDER_ID = 'sampl'</v>
      </c>
      <c r="F252" t="str">
        <f t="shared" si="13"/>
        <v>Changed</v>
      </c>
      <c r="G252" t="str">
        <f t="shared" si="14"/>
        <v>-</v>
      </c>
    </row>
    <row r="253" spans="1:7" x14ac:dyDescent="0.25">
      <c r="A253" s="2" t="s">
        <v>1</v>
      </c>
      <c r="B253" s="9" t="s">
        <v>290</v>
      </c>
      <c r="C253" t="s">
        <v>1292</v>
      </c>
      <c r="D253" s="5" t="s">
        <v>2290</v>
      </c>
      <c r="E253" t="str">
        <f t="shared" si="12"/>
        <v>UPDATE [MAP].[T_TRANS_VENDOR] SET NEW_VENDOR_ID = 'V0257' WHERE LEGACY_VENDOR_ID = 'DXDEMPSE' AND DATA_FOLDER_ID = 'sampl'</v>
      </c>
      <c r="F253" t="str">
        <f t="shared" si="13"/>
        <v>Changed</v>
      </c>
      <c r="G253" t="str">
        <f t="shared" si="14"/>
        <v>-</v>
      </c>
    </row>
    <row r="254" spans="1:7" x14ac:dyDescent="0.25">
      <c r="A254" s="2" t="s">
        <v>1</v>
      </c>
      <c r="B254" s="9" t="s">
        <v>291</v>
      </c>
      <c r="C254" t="s">
        <v>1293</v>
      </c>
      <c r="D254" s="5" t="s">
        <v>2291</v>
      </c>
      <c r="E254" t="str">
        <f t="shared" si="12"/>
        <v>UPDATE [MAP].[T_TRANS_VENDOR] SET NEW_VENDOR_ID = 'V0258' WHERE LEGACY_VENDOR_ID = 'E&amp;RROOF0' AND DATA_FOLDER_ID = 'sampl'</v>
      </c>
      <c r="F254" t="str">
        <f t="shared" si="13"/>
        <v>Changed</v>
      </c>
      <c r="G254" t="str">
        <f t="shared" si="14"/>
        <v>-</v>
      </c>
    </row>
    <row r="255" spans="1:7" x14ac:dyDescent="0.25">
      <c r="A255" s="2" t="s">
        <v>1</v>
      </c>
      <c r="B255" s="9" t="s">
        <v>292</v>
      </c>
      <c r="C255" t="s">
        <v>1294</v>
      </c>
      <c r="D255" s="5" t="s">
        <v>2292</v>
      </c>
      <c r="E255" t="str">
        <f t="shared" si="12"/>
        <v>UPDATE [MAP].[T_TRANS_VENDOR] SET NEW_VENDOR_ID = 'V0259' WHERE LEGACY_VENDOR_ID = 'EARTHCAM' AND DATA_FOLDER_ID = 'sampl'</v>
      </c>
      <c r="F255" t="str">
        <f t="shared" si="13"/>
        <v>Changed</v>
      </c>
      <c r="G255" t="str">
        <f t="shared" si="14"/>
        <v>-</v>
      </c>
    </row>
    <row r="256" spans="1:7" x14ac:dyDescent="0.25">
      <c r="A256" s="2" t="s">
        <v>1</v>
      </c>
      <c r="B256" s="9" t="s">
        <v>293</v>
      </c>
      <c r="C256" t="s">
        <v>1295</v>
      </c>
      <c r="D256" s="5" t="s">
        <v>2293</v>
      </c>
      <c r="E256" t="str">
        <f t="shared" si="12"/>
        <v>UPDATE [MAP].[T_TRANS_VENDOR] SET NEW_VENDOR_ID = 'V0260' WHERE LEGACY_VENDOR_ID = 'EARTHENG' AND DATA_FOLDER_ID = 'sampl'</v>
      </c>
      <c r="F256" t="str">
        <f t="shared" si="13"/>
        <v>Changed</v>
      </c>
      <c r="G256" t="str">
        <f t="shared" si="14"/>
        <v>-</v>
      </c>
    </row>
    <row r="257" spans="1:7" x14ac:dyDescent="0.25">
      <c r="A257" s="2" t="s">
        <v>1</v>
      </c>
      <c r="B257" s="9" t="s">
        <v>294</v>
      </c>
      <c r="C257" t="s">
        <v>1296</v>
      </c>
      <c r="D257" s="5" t="s">
        <v>2294</v>
      </c>
      <c r="E257" t="str">
        <f t="shared" si="12"/>
        <v>UPDATE [MAP].[T_TRANS_VENDOR] SET NEW_VENDOR_ID = 'V0261' WHERE LEGACY_VENDOR_ID = 'EASCBF' AND DATA_FOLDER_ID = 'sampl'</v>
      </c>
      <c r="F257" t="str">
        <f t="shared" si="13"/>
        <v>Changed</v>
      </c>
      <c r="G257" t="str">
        <f t="shared" si="14"/>
        <v>-</v>
      </c>
    </row>
    <row r="258" spans="1:7" x14ac:dyDescent="0.25">
      <c r="A258" s="2" t="s">
        <v>1</v>
      </c>
      <c r="B258" s="9" t="s">
        <v>295</v>
      </c>
      <c r="C258" t="s">
        <v>1297</v>
      </c>
      <c r="D258" s="5" t="s">
        <v>2295</v>
      </c>
      <c r="E258" t="str">
        <f t="shared" si="12"/>
        <v>UPDATE [MAP].[T_TRANS_VENDOR] SET NEW_VENDOR_ID = 'V0262' WHERE LEGACY_VENDOR_ID = 'EASTCOAS' AND DATA_FOLDER_ID = 'sampl'</v>
      </c>
      <c r="F258" t="str">
        <f t="shared" si="13"/>
        <v>Changed</v>
      </c>
      <c r="G258" t="str">
        <f t="shared" si="14"/>
        <v>-</v>
      </c>
    </row>
    <row r="259" spans="1:7" x14ac:dyDescent="0.25">
      <c r="A259" s="2" t="s">
        <v>1</v>
      </c>
      <c r="B259" s="9" t="s">
        <v>296</v>
      </c>
      <c r="C259" t="s">
        <v>1298</v>
      </c>
      <c r="D259" s="5" t="s">
        <v>2296</v>
      </c>
      <c r="E259" t="str">
        <f t="shared" si="12"/>
        <v>UPDATE [MAP].[T_TRANS_VENDOR] SET NEW_VENDOR_ID = 'V0263' WHERE LEGACY_VENDOR_ID = 'EASTELEC' AND DATA_FOLDER_ID = 'sampl'</v>
      </c>
      <c r="F259" t="str">
        <f t="shared" si="13"/>
        <v>Changed</v>
      </c>
      <c r="G259" t="str">
        <f t="shared" si="14"/>
        <v>-</v>
      </c>
    </row>
    <row r="260" spans="1:7" x14ac:dyDescent="0.25">
      <c r="A260" s="2" t="s">
        <v>1</v>
      </c>
      <c r="B260" s="9" t="s">
        <v>297</v>
      </c>
      <c r="C260" t="s">
        <v>1299</v>
      </c>
      <c r="D260" s="5" t="s">
        <v>2297</v>
      </c>
      <c r="E260" t="str">
        <f t="shared" si="12"/>
        <v>UPDATE [MAP].[T_TRANS_VENDOR] SET NEW_VENDOR_ID = 'V0264' WHERE LEGACY_VENDOR_ID = 'EASTENDA' AND DATA_FOLDER_ID = 'sampl'</v>
      </c>
      <c r="F260" t="str">
        <f t="shared" si="13"/>
        <v>Changed</v>
      </c>
      <c r="G260" t="str">
        <f t="shared" si="14"/>
        <v>-</v>
      </c>
    </row>
    <row r="261" spans="1:7" x14ac:dyDescent="0.25">
      <c r="A261" s="2" t="s">
        <v>1</v>
      </c>
      <c r="B261" s="9" t="s">
        <v>298</v>
      </c>
      <c r="C261" t="s">
        <v>1300</v>
      </c>
      <c r="D261" s="5" t="s">
        <v>2298</v>
      </c>
      <c r="E261" t="str">
        <f t="shared" si="12"/>
        <v>UPDATE [MAP].[T_TRANS_VENDOR] SET NEW_VENDOR_ID = 'V0265' WHERE LEGACY_VENDOR_ID = 'EASTERNLIF' AND DATA_FOLDER_ID = 'sampl'</v>
      </c>
      <c r="F261" t="str">
        <f t="shared" si="13"/>
        <v>Changed</v>
      </c>
      <c r="G261" t="str">
        <f t="shared" si="14"/>
        <v>-</v>
      </c>
    </row>
    <row r="262" spans="1:7" x14ac:dyDescent="0.25">
      <c r="A262" s="2" t="s">
        <v>1</v>
      </c>
      <c r="B262" s="9" t="s">
        <v>299</v>
      </c>
      <c r="C262" t="s">
        <v>1301</v>
      </c>
      <c r="D262" s="5" t="s">
        <v>2299</v>
      </c>
      <c r="E262" t="str">
        <f t="shared" si="12"/>
        <v>UPDATE [MAP].[T_TRANS_VENDOR] SET NEW_VENDOR_ID = 'V0266' WHERE LEGACY_VENDOR_ID = 'EASTMILL' AND DATA_FOLDER_ID = 'sampl'</v>
      </c>
      <c r="F262" t="str">
        <f t="shared" si="13"/>
        <v>Changed</v>
      </c>
      <c r="G262" t="str">
        <f t="shared" si="14"/>
        <v>-</v>
      </c>
    </row>
    <row r="263" spans="1:7" x14ac:dyDescent="0.25">
      <c r="A263" s="2" t="s">
        <v>1</v>
      </c>
      <c r="B263" s="9" t="s">
        <v>300</v>
      </c>
      <c r="C263" t="s">
        <v>1302</v>
      </c>
      <c r="D263" s="5" t="s">
        <v>2300</v>
      </c>
      <c r="E263" t="str">
        <f t="shared" si="12"/>
        <v>UPDATE [MAP].[T_TRANS_VENDOR] SET NEW_VENDOR_ID = 'V0267' WHERE LEGACY_VENDOR_ID = 'EASTPALPL' AND DATA_FOLDER_ID = 'sampl'</v>
      </c>
      <c r="F263" t="str">
        <f t="shared" si="13"/>
        <v>Changed</v>
      </c>
      <c r="G263" t="str">
        <f t="shared" si="14"/>
        <v>-</v>
      </c>
    </row>
    <row r="264" spans="1:7" x14ac:dyDescent="0.25">
      <c r="A264" s="2" t="s">
        <v>1</v>
      </c>
      <c r="B264" s="9" t="s">
        <v>301</v>
      </c>
      <c r="C264" t="s">
        <v>1303</v>
      </c>
      <c r="D264" s="5" t="s">
        <v>2301</v>
      </c>
      <c r="E264" t="str">
        <f t="shared" si="12"/>
        <v>UPDATE [MAP].[T_TRANS_VENDOR] SET NEW_VENDOR_ID = 'V0268' WHERE LEGACY_VENDOR_ID = 'EASTPENN' AND DATA_FOLDER_ID = 'sampl'</v>
      </c>
      <c r="F264" t="str">
        <f t="shared" si="13"/>
        <v>Changed</v>
      </c>
      <c r="G264" t="str">
        <f t="shared" si="14"/>
        <v>-</v>
      </c>
    </row>
    <row r="265" spans="1:7" x14ac:dyDescent="0.25">
      <c r="A265" s="2" t="s">
        <v>1</v>
      </c>
      <c r="B265" s="9" t="s">
        <v>302</v>
      </c>
      <c r="C265" t="s">
        <v>1304</v>
      </c>
      <c r="D265" s="5" t="s">
        <v>2302</v>
      </c>
      <c r="E265" t="str">
        <f t="shared" si="12"/>
        <v>UPDATE [MAP].[T_TRANS_VENDOR] SET NEW_VENDOR_ID = 'V0269' WHERE LEGACY_VENDOR_ID = 'EASTROOF' AND DATA_FOLDER_ID = 'sampl'</v>
      </c>
      <c r="F265" t="str">
        <f t="shared" si="13"/>
        <v>Changed</v>
      </c>
      <c r="G265" t="str">
        <f t="shared" si="14"/>
        <v>-</v>
      </c>
    </row>
    <row r="266" spans="1:7" x14ac:dyDescent="0.25">
      <c r="A266" s="2" t="s">
        <v>1</v>
      </c>
      <c r="B266" s="9" t="s">
        <v>303</v>
      </c>
      <c r="C266" t="s">
        <v>1305</v>
      </c>
      <c r="D266" s="5" t="s">
        <v>2303</v>
      </c>
      <c r="E266" t="str">
        <f t="shared" si="12"/>
        <v>UPDATE [MAP].[T_TRANS_VENDOR] SET NEW_VENDOR_ID = 'V0270' WHERE LEGACY_VENDOR_ID = 'EASTSTEEL' AND DATA_FOLDER_ID = 'sampl'</v>
      </c>
      <c r="F266" t="str">
        <f t="shared" si="13"/>
        <v>Changed</v>
      </c>
      <c r="G266" t="str">
        <f t="shared" si="14"/>
        <v>-</v>
      </c>
    </row>
    <row r="267" spans="1:7" x14ac:dyDescent="0.25">
      <c r="A267" s="2" t="s">
        <v>1</v>
      </c>
      <c r="B267" s="9" t="s">
        <v>304</v>
      </c>
      <c r="C267" t="s">
        <v>1306</v>
      </c>
      <c r="D267" s="5" t="s">
        <v>2304</v>
      </c>
      <c r="E267" t="str">
        <f t="shared" si="12"/>
        <v>UPDATE [MAP].[T_TRANS_VENDOR] SET NEW_VENDOR_ID = 'V0271' WHERE LEGACY_VENDOR_ID = 'ECLIPSEC' AND DATA_FOLDER_ID = 'sampl'</v>
      </c>
      <c r="F267" t="str">
        <f t="shared" si="13"/>
        <v>Changed</v>
      </c>
      <c r="G267" t="str">
        <f t="shared" si="14"/>
        <v>-</v>
      </c>
    </row>
    <row r="268" spans="1:7" x14ac:dyDescent="0.25">
      <c r="A268" s="2" t="s">
        <v>1</v>
      </c>
      <c r="B268" s="9" t="s">
        <v>305</v>
      </c>
      <c r="C268" t="s">
        <v>1307</v>
      </c>
      <c r="D268" s="5" t="s">
        <v>2305</v>
      </c>
      <c r="E268" t="str">
        <f t="shared" si="12"/>
        <v>UPDATE [MAP].[T_TRANS_VENDOR] SET NEW_VENDOR_ID = 'V0272' WHERE LEGACY_VENDOR_ID = 'ECOLLECT' AND DATA_FOLDER_ID = 'sampl'</v>
      </c>
      <c r="F268" t="str">
        <f t="shared" si="13"/>
        <v>Changed</v>
      </c>
      <c r="G268" t="str">
        <f t="shared" si="14"/>
        <v>-</v>
      </c>
    </row>
    <row r="269" spans="1:7" x14ac:dyDescent="0.25">
      <c r="A269" s="2" t="s">
        <v>1</v>
      </c>
      <c r="B269" s="9" t="s">
        <v>306</v>
      </c>
      <c r="C269" t="s">
        <v>1308</v>
      </c>
      <c r="D269" s="5" t="s">
        <v>2306</v>
      </c>
      <c r="E269" t="str">
        <f t="shared" si="12"/>
        <v>UPDATE [MAP].[T_TRANS_VENDOR] SET NEW_VENDOR_ID = 'V0273' WHERE LEGACY_VENDOR_ID = 'ECOLLECTPA' AND DATA_FOLDER_ID = 'sampl'</v>
      </c>
      <c r="F269" t="str">
        <f t="shared" si="13"/>
        <v>Changed</v>
      </c>
      <c r="G269" t="str">
        <f t="shared" si="14"/>
        <v>-</v>
      </c>
    </row>
    <row r="270" spans="1:7" x14ac:dyDescent="0.25">
      <c r="A270" s="2" t="s">
        <v>1</v>
      </c>
      <c r="B270" s="9" t="s">
        <v>307</v>
      </c>
      <c r="C270" t="s">
        <v>1309</v>
      </c>
      <c r="D270" s="5" t="s">
        <v>2307</v>
      </c>
      <c r="E270" t="str">
        <f t="shared" si="12"/>
        <v>UPDATE [MAP].[T_TRANS_VENDOR] SET NEW_VENDOR_ID = 'V0274' WHERE LEGACY_VENDOR_ID = 'ECSMIDAT' AND DATA_FOLDER_ID = 'sampl'</v>
      </c>
      <c r="F270" t="str">
        <f t="shared" si="13"/>
        <v>Changed</v>
      </c>
      <c r="G270" t="str">
        <f t="shared" si="14"/>
        <v>-</v>
      </c>
    </row>
    <row r="271" spans="1:7" x14ac:dyDescent="0.25">
      <c r="A271" s="2" t="s">
        <v>1</v>
      </c>
      <c r="B271" s="9" t="s">
        <v>308</v>
      </c>
      <c r="C271" t="s">
        <v>1310</v>
      </c>
      <c r="D271" s="5" t="s">
        <v>2308</v>
      </c>
      <c r="E271" t="str">
        <f t="shared" ref="E271:E334" si="15">"UPDATE "&amp;$E$3&amp;" SET NEW_VENDOR_ID = '"&amp;D271&amp;"' WHERE LEGACY_VENDOR_ID = '"&amp;B271&amp;"' AND DATA_FOLDER_ID = '"&amp;$A271&amp;"'"</f>
        <v>UPDATE [MAP].[T_TRANS_VENDOR] SET NEW_VENDOR_ID = 'V0275' WHERE LEGACY_VENDOR_ID = 'EDDIEEXC' AND DATA_FOLDER_ID = 'sampl'</v>
      </c>
      <c r="F271" t="str">
        <f t="shared" ref="F271:F334" si="16">IF(B271&lt;&gt;D271,"Changed","-")</f>
        <v>Changed</v>
      </c>
      <c r="G271" t="str">
        <f t="shared" ref="G271:G334" si="17">IF(B271="","Hide","-")</f>
        <v>-</v>
      </c>
    </row>
    <row r="272" spans="1:7" x14ac:dyDescent="0.25">
      <c r="A272" s="2" t="s">
        <v>1</v>
      </c>
      <c r="B272" s="9" t="s">
        <v>309</v>
      </c>
      <c r="C272" t="s">
        <v>1311</v>
      </c>
      <c r="D272" s="5" t="s">
        <v>2309</v>
      </c>
      <c r="E272" t="str">
        <f t="shared" si="15"/>
        <v>UPDATE [MAP].[T_TRANS_VENDOR] SET NEW_VENDOR_ID = 'V0276' WHERE LEGACY_VENDOR_ID = 'EDWARDSC' AND DATA_FOLDER_ID = 'sampl'</v>
      </c>
      <c r="F272" t="str">
        <f t="shared" si="16"/>
        <v>Changed</v>
      </c>
      <c r="G272" t="str">
        <f t="shared" si="17"/>
        <v>-</v>
      </c>
    </row>
    <row r="273" spans="1:7" x14ac:dyDescent="0.25">
      <c r="A273" s="2" t="s">
        <v>1</v>
      </c>
      <c r="B273" s="9" t="s">
        <v>310</v>
      </c>
      <c r="C273" t="s">
        <v>1312</v>
      </c>
      <c r="D273" s="5" t="s">
        <v>2310</v>
      </c>
      <c r="E273" t="str">
        <f t="shared" si="15"/>
        <v>UPDATE [MAP].[T_TRANS_VENDOR] SET NEW_VENDOR_ID = 'V0277' WHERE LEGACY_VENDOR_ID = 'EDWSMECH' AND DATA_FOLDER_ID = 'sampl'</v>
      </c>
      <c r="F273" t="str">
        <f t="shared" si="16"/>
        <v>Changed</v>
      </c>
      <c r="G273" t="str">
        <f t="shared" si="17"/>
        <v>-</v>
      </c>
    </row>
    <row r="274" spans="1:7" x14ac:dyDescent="0.25">
      <c r="A274" s="2" t="s">
        <v>1</v>
      </c>
      <c r="B274" s="9" t="s">
        <v>311</v>
      </c>
      <c r="C274" t="s">
        <v>1313</v>
      </c>
      <c r="D274" s="5" t="s">
        <v>2311</v>
      </c>
      <c r="E274" t="str">
        <f t="shared" si="15"/>
        <v>UPDATE [MAP].[T_TRANS_VENDOR] SET NEW_VENDOR_ID = 'V0278' WHERE LEGACY_VENDOR_ID = 'EFCOCORP' AND DATA_FOLDER_ID = 'sampl'</v>
      </c>
      <c r="F274" t="str">
        <f t="shared" si="16"/>
        <v>Changed</v>
      </c>
      <c r="G274" t="str">
        <f t="shared" si="17"/>
        <v>-</v>
      </c>
    </row>
    <row r="275" spans="1:7" x14ac:dyDescent="0.25">
      <c r="A275" s="2" t="s">
        <v>1</v>
      </c>
      <c r="B275" s="9" t="s">
        <v>312</v>
      </c>
      <c r="C275" t="s">
        <v>1314</v>
      </c>
      <c r="D275" s="5" t="s">
        <v>2312</v>
      </c>
      <c r="E275" t="str">
        <f t="shared" si="15"/>
        <v>UPDATE [MAP].[T_TRANS_VENDOR] SET NEW_VENDOR_ID = 'V0279' WHERE LEGACY_VENDOR_ID = 'EHRLICH' AND DATA_FOLDER_ID = 'sampl'</v>
      </c>
      <c r="F275" t="str">
        <f t="shared" si="16"/>
        <v>Changed</v>
      </c>
      <c r="G275" t="str">
        <f t="shared" si="17"/>
        <v>-</v>
      </c>
    </row>
    <row r="276" spans="1:7" x14ac:dyDescent="0.25">
      <c r="A276" s="2" t="s">
        <v>1</v>
      </c>
      <c r="B276" s="9" t="s">
        <v>313</v>
      </c>
      <c r="C276" t="s">
        <v>1315</v>
      </c>
      <c r="D276" s="5" t="s">
        <v>2313</v>
      </c>
      <c r="E276" t="str">
        <f t="shared" si="15"/>
        <v>UPDATE [MAP].[T_TRANS_VENDOR] SET NEW_VENDOR_ID = 'V0280' WHERE LEGACY_VENDOR_ID = 'ELANFINA' AND DATA_FOLDER_ID = 'sampl'</v>
      </c>
      <c r="F276" t="str">
        <f t="shared" si="16"/>
        <v>Changed</v>
      </c>
      <c r="G276" t="str">
        <f t="shared" si="17"/>
        <v>-</v>
      </c>
    </row>
    <row r="277" spans="1:7" x14ac:dyDescent="0.25">
      <c r="A277" s="2" t="s">
        <v>1</v>
      </c>
      <c r="B277" s="9" t="s">
        <v>314</v>
      </c>
      <c r="C277" t="s">
        <v>1316</v>
      </c>
      <c r="D277" s="5" t="s">
        <v>2314</v>
      </c>
      <c r="E277" t="str">
        <f t="shared" si="15"/>
        <v>UPDATE [MAP].[T_TRANS_VENDOR] SET NEW_VENDOR_ID = 'V0281' WHERE LEGACY_VENDOR_ID = 'ELCMANUF' AND DATA_FOLDER_ID = 'sampl'</v>
      </c>
      <c r="F277" t="str">
        <f t="shared" si="16"/>
        <v>Changed</v>
      </c>
      <c r="G277" t="str">
        <f t="shared" si="17"/>
        <v>-</v>
      </c>
    </row>
    <row r="278" spans="1:7" x14ac:dyDescent="0.25">
      <c r="A278" s="2" t="s">
        <v>1</v>
      </c>
      <c r="B278" s="9" t="s">
        <v>315</v>
      </c>
      <c r="C278" t="s">
        <v>1317</v>
      </c>
      <c r="D278" s="5" t="s">
        <v>2315</v>
      </c>
      <c r="E278" t="str">
        <f t="shared" si="15"/>
        <v>UPDATE [MAP].[T_TRANS_VENDOR] SET NEW_VENDOR_ID = 'V0282' WHERE LEGACY_VENDOR_ID = 'ELECTRON' AND DATA_FOLDER_ID = 'sampl'</v>
      </c>
      <c r="F278" t="str">
        <f t="shared" si="16"/>
        <v>Changed</v>
      </c>
      <c r="G278" t="str">
        <f t="shared" si="17"/>
        <v>-</v>
      </c>
    </row>
    <row r="279" spans="1:7" x14ac:dyDescent="0.25">
      <c r="A279" s="2" t="s">
        <v>1</v>
      </c>
      <c r="B279" s="9" t="s">
        <v>316</v>
      </c>
      <c r="C279" t="s">
        <v>1318</v>
      </c>
      <c r="D279" s="5" t="s">
        <v>2316</v>
      </c>
      <c r="E279" t="str">
        <f t="shared" si="15"/>
        <v>UPDATE [MAP].[T_TRANS_VENDOR] SET NEW_VENDOR_ID = 'V0283' WHERE LEGACY_VENDOR_ID = 'ELEMENTS' AND DATA_FOLDER_ID = 'sampl'</v>
      </c>
      <c r="F279" t="str">
        <f t="shared" si="16"/>
        <v>Changed</v>
      </c>
      <c r="G279" t="str">
        <f t="shared" si="17"/>
        <v>-</v>
      </c>
    </row>
    <row r="280" spans="1:7" x14ac:dyDescent="0.25">
      <c r="A280" s="2" t="s">
        <v>1</v>
      </c>
      <c r="B280" s="9" t="s">
        <v>317</v>
      </c>
      <c r="C280" t="s">
        <v>1319</v>
      </c>
      <c r="D280" s="5" t="s">
        <v>2317</v>
      </c>
      <c r="E280" t="str">
        <f t="shared" si="15"/>
        <v>UPDATE [MAP].[T_TRANS_VENDOR] SET NEW_VENDOR_ID = 'V0284' WHERE LEGACY_VENDOR_ID = 'ELITEMECH' AND DATA_FOLDER_ID = 'sampl'</v>
      </c>
      <c r="F280" t="str">
        <f t="shared" si="16"/>
        <v>Changed</v>
      </c>
      <c r="G280" t="str">
        <f t="shared" si="17"/>
        <v>-</v>
      </c>
    </row>
    <row r="281" spans="1:7" x14ac:dyDescent="0.25">
      <c r="A281" s="2" t="s">
        <v>1</v>
      </c>
      <c r="B281" s="9" t="s">
        <v>318</v>
      </c>
      <c r="C281" t="s">
        <v>1320</v>
      </c>
      <c r="D281" s="5" t="s">
        <v>2318</v>
      </c>
      <c r="E281" t="str">
        <f t="shared" si="15"/>
        <v>UPDATE [MAP].[T_TRANS_VENDOR] SET NEW_VENDOR_ID = 'V0285' WHERE LEGACY_VENDOR_ID = 'ELITESTO' AND DATA_FOLDER_ID = 'sampl'</v>
      </c>
      <c r="F281" t="str">
        <f t="shared" si="16"/>
        <v>Changed</v>
      </c>
      <c r="G281" t="str">
        <f t="shared" si="17"/>
        <v>-</v>
      </c>
    </row>
    <row r="282" spans="1:7" x14ac:dyDescent="0.25">
      <c r="A282" s="2" t="s">
        <v>1</v>
      </c>
      <c r="B282" s="9" t="s">
        <v>319</v>
      </c>
      <c r="C282" t="s">
        <v>1321</v>
      </c>
      <c r="D282" s="5" t="s">
        <v>2319</v>
      </c>
      <c r="E282" t="str">
        <f t="shared" si="15"/>
        <v>UPDATE [MAP].[T_TRANS_VENDOR] SET NEW_VENDOR_ID = 'V0286' WHERE LEGACY_VENDOR_ID = 'EMHCONTRAC' AND DATA_FOLDER_ID = 'sampl'</v>
      </c>
      <c r="F282" t="str">
        <f t="shared" si="16"/>
        <v>Changed</v>
      </c>
      <c r="G282" t="str">
        <f t="shared" si="17"/>
        <v>-</v>
      </c>
    </row>
    <row r="283" spans="1:7" x14ac:dyDescent="0.25">
      <c r="A283" s="2" t="s">
        <v>1</v>
      </c>
      <c r="B283" s="9" t="s">
        <v>320</v>
      </c>
      <c r="C283" t="s">
        <v>1322</v>
      </c>
      <c r="D283" s="5" t="s">
        <v>2320</v>
      </c>
      <c r="E283" t="str">
        <f t="shared" si="15"/>
        <v>UPDATE [MAP].[T_TRANS_VENDOR] SET NEW_VENDOR_ID = 'V0287' WHERE LEGACY_VENDOR_ID = 'ENDLERAR' AND DATA_FOLDER_ID = 'sampl'</v>
      </c>
      <c r="F283" t="str">
        <f t="shared" si="16"/>
        <v>Changed</v>
      </c>
      <c r="G283" t="str">
        <f t="shared" si="17"/>
        <v>-</v>
      </c>
    </row>
    <row r="284" spans="1:7" x14ac:dyDescent="0.25">
      <c r="A284" s="2" t="s">
        <v>1</v>
      </c>
      <c r="B284" s="9" t="s">
        <v>321</v>
      </c>
      <c r="C284" t="s">
        <v>1323</v>
      </c>
      <c r="D284" s="5" t="s">
        <v>2321</v>
      </c>
      <c r="E284" t="str">
        <f t="shared" si="15"/>
        <v>UPDATE [MAP].[T_TRANS_VENDOR] SET NEW_VENDOR_ID = 'V0288' WHERE LEGACY_VENDOR_ID = 'ENG-BIM0' AND DATA_FOLDER_ID = 'sampl'</v>
      </c>
      <c r="F284" t="str">
        <f t="shared" si="16"/>
        <v>Changed</v>
      </c>
      <c r="G284" t="str">
        <f t="shared" si="17"/>
        <v>-</v>
      </c>
    </row>
    <row r="285" spans="1:7" x14ac:dyDescent="0.25">
      <c r="A285" s="2" t="s">
        <v>1</v>
      </c>
      <c r="B285" s="9" t="s">
        <v>322</v>
      </c>
      <c r="C285" t="s">
        <v>1324</v>
      </c>
      <c r="D285" s="5" t="s">
        <v>2322</v>
      </c>
      <c r="E285" t="str">
        <f t="shared" si="15"/>
        <v>UPDATE [MAP].[T_TRANS_VENDOR] SET NEW_VENDOR_ID = 'V0289' WHERE LEGACY_VENDOR_ID = 'ENGIBUIL' AND DATA_FOLDER_ID = 'sampl'</v>
      </c>
      <c r="F285" t="str">
        <f t="shared" si="16"/>
        <v>Changed</v>
      </c>
      <c r="G285" t="str">
        <f t="shared" si="17"/>
        <v>-</v>
      </c>
    </row>
    <row r="286" spans="1:7" x14ac:dyDescent="0.25">
      <c r="A286" s="2" t="s">
        <v>1</v>
      </c>
      <c r="B286" s="9" t="s">
        <v>323</v>
      </c>
      <c r="C286" t="s">
        <v>1325</v>
      </c>
      <c r="D286" s="5" t="s">
        <v>2323</v>
      </c>
      <c r="E286" t="str">
        <f t="shared" si="15"/>
        <v>UPDATE [MAP].[T_TRANS_VENDOR] SET NEW_VENDOR_ID = 'V0290' WHERE LEGACY_VENDOR_ID = 'ENGLECON' AND DATA_FOLDER_ID = 'sampl'</v>
      </c>
      <c r="F286" t="str">
        <f t="shared" si="16"/>
        <v>Changed</v>
      </c>
      <c r="G286" t="str">
        <f t="shared" si="17"/>
        <v>-</v>
      </c>
    </row>
    <row r="287" spans="1:7" x14ac:dyDescent="0.25">
      <c r="A287" s="2" t="s">
        <v>1</v>
      </c>
      <c r="B287" s="9" t="s">
        <v>324</v>
      </c>
      <c r="C287" t="s">
        <v>1326</v>
      </c>
      <c r="D287" s="5" t="s">
        <v>2324</v>
      </c>
      <c r="E287" t="str">
        <f t="shared" si="15"/>
        <v>UPDATE [MAP].[T_TRANS_VENDOR] SET NEW_VENDOR_ID = 'V0291' WHERE LEGACY_VENDOR_ID = 'ENVIROSC' AND DATA_FOLDER_ID = 'sampl'</v>
      </c>
      <c r="F287" t="str">
        <f t="shared" si="16"/>
        <v>Changed</v>
      </c>
      <c r="G287" t="str">
        <f t="shared" si="17"/>
        <v>-</v>
      </c>
    </row>
    <row r="288" spans="1:7" x14ac:dyDescent="0.25">
      <c r="A288" s="2" t="s">
        <v>1</v>
      </c>
      <c r="B288" s="9" t="s">
        <v>325</v>
      </c>
      <c r="C288" t="s">
        <v>1327</v>
      </c>
      <c r="D288" s="5" t="s">
        <v>2325</v>
      </c>
      <c r="E288" t="str">
        <f t="shared" si="15"/>
        <v>UPDATE [MAP].[T_TRANS_VENDOR] SET NEW_VENDOR_ID = 'V0292' WHERE LEGACY_VENDOR_ID = 'ENVISERV' AND DATA_FOLDER_ID = 'sampl'</v>
      </c>
      <c r="F288" t="str">
        <f t="shared" si="16"/>
        <v>Changed</v>
      </c>
      <c r="G288" t="str">
        <f t="shared" si="17"/>
        <v>-</v>
      </c>
    </row>
    <row r="289" spans="1:7" x14ac:dyDescent="0.25">
      <c r="A289" s="2" t="s">
        <v>1</v>
      </c>
      <c r="B289" s="9" t="s">
        <v>326</v>
      </c>
      <c r="C289" t="s">
        <v>1328</v>
      </c>
      <c r="D289" s="5" t="s">
        <v>2326</v>
      </c>
      <c r="E289" t="str">
        <f t="shared" si="15"/>
        <v>UPDATE [MAP].[T_TRANS_VENDOR] SET NEW_VENDOR_ID = 'V0293' WHERE LEGACY_VENDOR_ID = 'EPSCO' AND DATA_FOLDER_ID = 'sampl'</v>
      </c>
      <c r="F289" t="str">
        <f t="shared" si="16"/>
        <v>Changed</v>
      </c>
      <c r="G289" t="str">
        <f t="shared" si="17"/>
        <v>-</v>
      </c>
    </row>
    <row r="290" spans="1:7" x14ac:dyDescent="0.25">
      <c r="A290" s="2" t="s">
        <v>1</v>
      </c>
      <c r="B290" s="9" t="s">
        <v>327</v>
      </c>
      <c r="C290" t="s">
        <v>1329</v>
      </c>
      <c r="D290" s="5" t="s">
        <v>2327</v>
      </c>
      <c r="E290" t="str">
        <f t="shared" si="15"/>
        <v>UPDATE [MAP].[T_TRANS_VENDOR] SET NEW_VENDOR_ID = 'V0294' WHERE LEGACY_VENDOR_ID = 'ERIEMATE' AND DATA_FOLDER_ID = 'sampl'</v>
      </c>
      <c r="F290" t="str">
        <f t="shared" si="16"/>
        <v>Changed</v>
      </c>
      <c r="G290" t="str">
        <f t="shared" si="17"/>
        <v>-</v>
      </c>
    </row>
    <row r="291" spans="1:7" x14ac:dyDescent="0.25">
      <c r="A291" s="2" t="s">
        <v>1</v>
      </c>
      <c r="B291" s="9" t="s">
        <v>328</v>
      </c>
      <c r="C291" t="s">
        <v>1330</v>
      </c>
      <c r="D291" s="5" t="s">
        <v>2328</v>
      </c>
      <c r="E291" t="str">
        <f t="shared" si="15"/>
        <v>UPDATE [MAP].[T_TRANS_VENDOR] SET NEW_VENDOR_ID = 'V0295' WHERE LEGACY_VENDOR_ID = 'ESHBACH' AND DATA_FOLDER_ID = 'sampl'</v>
      </c>
      <c r="F291" t="str">
        <f t="shared" si="16"/>
        <v>Changed</v>
      </c>
      <c r="G291" t="str">
        <f t="shared" si="17"/>
        <v>-</v>
      </c>
    </row>
    <row r="292" spans="1:7" x14ac:dyDescent="0.25">
      <c r="A292" s="2" t="s">
        <v>1</v>
      </c>
      <c r="B292" s="9" t="s">
        <v>329</v>
      </c>
      <c r="C292" t="s">
        <v>1331</v>
      </c>
      <c r="D292" s="5" t="s">
        <v>2329</v>
      </c>
      <c r="E292" t="str">
        <f t="shared" si="15"/>
        <v>UPDATE [MAP].[T_TRANS_VENDOR] SET NEW_VENDOR_ID = 'V0296' WHERE LEGACY_VENDOR_ID = 'ESPCONCR' AND DATA_FOLDER_ID = 'sampl'</v>
      </c>
      <c r="F292" t="str">
        <f t="shared" si="16"/>
        <v>Changed</v>
      </c>
      <c r="G292" t="str">
        <f t="shared" si="17"/>
        <v>-</v>
      </c>
    </row>
    <row r="293" spans="1:7" x14ac:dyDescent="0.25">
      <c r="A293" s="2" t="s">
        <v>1</v>
      </c>
      <c r="B293" s="9" t="s">
        <v>330</v>
      </c>
      <c r="C293" t="s">
        <v>1332</v>
      </c>
      <c r="D293" s="5" t="s">
        <v>2330</v>
      </c>
      <c r="E293" t="str">
        <f t="shared" si="15"/>
        <v>UPDATE [MAP].[T_TRANS_VENDOR] SET NEW_VENDOR_ID = 'V0297' WHERE LEGACY_VENDOR_ID = 'EUREKAGL' AND DATA_FOLDER_ID = 'sampl'</v>
      </c>
      <c r="F293" t="str">
        <f t="shared" si="16"/>
        <v>Changed</v>
      </c>
      <c r="G293" t="str">
        <f t="shared" si="17"/>
        <v>-</v>
      </c>
    </row>
    <row r="294" spans="1:7" x14ac:dyDescent="0.25">
      <c r="A294" s="2" t="s">
        <v>1</v>
      </c>
      <c r="B294" s="9" t="s">
        <v>331</v>
      </c>
      <c r="C294" t="s">
        <v>1333</v>
      </c>
      <c r="D294" s="5" t="s">
        <v>2331</v>
      </c>
      <c r="E294" t="str">
        <f t="shared" si="15"/>
        <v>UPDATE [MAP].[T_TRANS_VENDOR] SET NEW_VENDOR_ID = 'V0298' WHERE LEGACY_VENDOR_ID = 'EVCOTREE' AND DATA_FOLDER_ID = 'sampl'</v>
      </c>
      <c r="F294" t="str">
        <f t="shared" si="16"/>
        <v>Changed</v>
      </c>
      <c r="G294" t="str">
        <f t="shared" si="17"/>
        <v>-</v>
      </c>
    </row>
    <row r="295" spans="1:7" x14ac:dyDescent="0.25">
      <c r="A295" s="2" t="s">
        <v>1</v>
      </c>
      <c r="B295" s="9" t="s">
        <v>332</v>
      </c>
      <c r="C295" t="s">
        <v>1334</v>
      </c>
      <c r="D295" s="5" t="s">
        <v>2332</v>
      </c>
      <c r="E295" t="str">
        <f t="shared" si="15"/>
        <v>UPDATE [MAP].[T_TRANS_VENDOR] SET NEW_VENDOR_ID = 'V0299' WHERE LEGACY_VENDOR_ID = 'EVERVUE' AND DATA_FOLDER_ID = 'sampl'</v>
      </c>
      <c r="F295" t="str">
        <f t="shared" si="16"/>
        <v>Changed</v>
      </c>
      <c r="G295" t="str">
        <f t="shared" si="17"/>
        <v>-</v>
      </c>
    </row>
    <row r="296" spans="1:7" x14ac:dyDescent="0.25">
      <c r="A296" s="2" t="s">
        <v>1</v>
      </c>
      <c r="B296" s="9" t="s">
        <v>333</v>
      </c>
      <c r="C296" t="s">
        <v>1335</v>
      </c>
      <c r="D296" s="5" t="s">
        <v>2333</v>
      </c>
      <c r="E296" t="str">
        <f t="shared" si="15"/>
        <v>UPDATE [MAP].[T_TRANS_VENDOR] SET NEW_VENDOR_ID = 'V0300' WHERE LEGACY_VENDOR_ID = 'EXECUTIV' AND DATA_FOLDER_ID = 'sampl'</v>
      </c>
      <c r="F296" t="str">
        <f t="shared" si="16"/>
        <v>Changed</v>
      </c>
      <c r="G296" t="str">
        <f t="shared" si="17"/>
        <v>-</v>
      </c>
    </row>
    <row r="297" spans="1:7" x14ac:dyDescent="0.25">
      <c r="A297" s="2" t="s">
        <v>1</v>
      </c>
      <c r="B297" s="9" t="s">
        <v>334</v>
      </c>
      <c r="C297" t="s">
        <v>1336</v>
      </c>
      <c r="D297" s="5" t="s">
        <v>2334</v>
      </c>
      <c r="E297" t="str">
        <f t="shared" si="15"/>
        <v>UPDATE [MAP].[T_TRANS_VENDOR] SET NEW_VENDOR_ID = 'V0301' WHERE LEGACY_VENDOR_ID = 'F&amp;LDOORS' AND DATA_FOLDER_ID = 'sampl'</v>
      </c>
      <c r="F297" t="str">
        <f t="shared" si="16"/>
        <v>Changed</v>
      </c>
      <c r="G297" t="str">
        <f t="shared" si="17"/>
        <v>-</v>
      </c>
    </row>
    <row r="298" spans="1:7" x14ac:dyDescent="0.25">
      <c r="A298" s="2" t="s">
        <v>1</v>
      </c>
      <c r="B298" s="9" t="s">
        <v>335</v>
      </c>
      <c r="C298" t="s">
        <v>1337</v>
      </c>
      <c r="D298" s="5" t="s">
        <v>2335</v>
      </c>
      <c r="E298" t="str">
        <f t="shared" si="15"/>
        <v>UPDATE [MAP].[T_TRANS_VENDOR] SET NEW_VENDOR_ID = 'V0302' WHERE LEGACY_VENDOR_ID = 'FABCONPR' AND DATA_FOLDER_ID = 'sampl'</v>
      </c>
      <c r="F298" t="str">
        <f t="shared" si="16"/>
        <v>Changed</v>
      </c>
      <c r="G298" t="str">
        <f t="shared" si="17"/>
        <v>-</v>
      </c>
    </row>
    <row r="299" spans="1:7" x14ac:dyDescent="0.25">
      <c r="A299" s="2" t="s">
        <v>1</v>
      </c>
      <c r="B299" s="9" t="s">
        <v>336</v>
      </c>
      <c r="C299" t="s">
        <v>1338</v>
      </c>
      <c r="D299" s="5" t="s">
        <v>2336</v>
      </c>
      <c r="E299" t="str">
        <f t="shared" si="15"/>
        <v>UPDATE [MAP].[T_TRANS_VENDOR] SET NEW_VENDOR_ID = 'V0303' WHERE LEGACY_VENDOR_ID = 'FABCORIN' AND DATA_FOLDER_ID = 'sampl'</v>
      </c>
      <c r="F299" t="str">
        <f t="shared" si="16"/>
        <v>Changed</v>
      </c>
      <c r="G299" t="str">
        <f t="shared" si="17"/>
        <v>-</v>
      </c>
    </row>
    <row r="300" spans="1:7" x14ac:dyDescent="0.25">
      <c r="A300" s="2" t="s">
        <v>1</v>
      </c>
      <c r="B300" s="9" t="s">
        <v>337</v>
      </c>
      <c r="C300" t="s">
        <v>1339</v>
      </c>
      <c r="D300" s="5" t="s">
        <v>2337</v>
      </c>
      <c r="E300" t="str">
        <f t="shared" si="15"/>
        <v>UPDATE [MAP].[T_TRANS_VENDOR] SET NEW_VENDOR_ID = 'V0304' WHERE LEGACY_VENDOR_ID = 'FAIRBORN' AND DATA_FOLDER_ID = 'sampl'</v>
      </c>
      <c r="F300" t="str">
        <f t="shared" si="16"/>
        <v>Changed</v>
      </c>
      <c r="G300" t="str">
        <f t="shared" si="17"/>
        <v>-</v>
      </c>
    </row>
    <row r="301" spans="1:7" x14ac:dyDescent="0.25">
      <c r="A301" s="2" t="s">
        <v>1</v>
      </c>
      <c r="B301" s="9" t="s">
        <v>338</v>
      </c>
      <c r="C301" t="s">
        <v>1340</v>
      </c>
      <c r="D301" s="5" t="s">
        <v>2338</v>
      </c>
      <c r="E301" t="str">
        <f t="shared" si="15"/>
        <v>UPDATE [MAP].[T_TRANS_VENDOR] SET NEW_VENDOR_ID = 'V0305' WHERE LEGACY_VENDOR_ID = 'FALCONOI' AND DATA_FOLDER_ID = 'sampl'</v>
      </c>
      <c r="F301" t="str">
        <f t="shared" si="16"/>
        <v>Changed</v>
      </c>
      <c r="G301" t="str">
        <f t="shared" si="17"/>
        <v>-</v>
      </c>
    </row>
    <row r="302" spans="1:7" x14ac:dyDescent="0.25">
      <c r="A302" s="2" t="s">
        <v>1</v>
      </c>
      <c r="B302" s="9" t="s">
        <v>339</v>
      </c>
      <c r="C302" t="s">
        <v>1341</v>
      </c>
      <c r="D302" s="5" t="s">
        <v>2339</v>
      </c>
      <c r="E302" t="str">
        <f t="shared" si="15"/>
        <v>UPDATE [MAP].[T_TRANS_VENDOR] SET NEW_VENDOR_ID = 'V0306' WHERE LEGACY_VENDOR_ID = 'FANCYPAR' AND DATA_FOLDER_ID = 'sampl'</v>
      </c>
      <c r="F302" t="str">
        <f t="shared" si="16"/>
        <v>Changed</v>
      </c>
      <c r="G302" t="str">
        <f t="shared" si="17"/>
        <v>-</v>
      </c>
    </row>
    <row r="303" spans="1:7" x14ac:dyDescent="0.25">
      <c r="A303" s="2" t="s">
        <v>1</v>
      </c>
      <c r="B303" s="9" t="s">
        <v>340</v>
      </c>
      <c r="C303" t="s">
        <v>1342</v>
      </c>
      <c r="D303" s="5" t="s">
        <v>2340</v>
      </c>
      <c r="E303" t="str">
        <f t="shared" si="15"/>
        <v>UPDATE [MAP].[T_TRANS_VENDOR] SET NEW_VENDOR_ID = 'V0307' WHERE LEGACY_VENDOR_ID = 'FARNHAMA' AND DATA_FOLDER_ID = 'sampl'</v>
      </c>
      <c r="F303" t="str">
        <f t="shared" si="16"/>
        <v>Changed</v>
      </c>
      <c r="G303" t="str">
        <f t="shared" si="17"/>
        <v>-</v>
      </c>
    </row>
    <row r="304" spans="1:7" x14ac:dyDescent="0.25">
      <c r="A304" s="2" t="s">
        <v>1</v>
      </c>
      <c r="B304" s="9" t="s">
        <v>341</v>
      </c>
      <c r="C304" t="s">
        <v>1343</v>
      </c>
      <c r="D304" s="5" t="s">
        <v>2341</v>
      </c>
      <c r="E304" t="str">
        <f t="shared" si="15"/>
        <v>UPDATE [MAP].[T_TRANS_VENDOR] SET NEW_VENDOR_ID = 'V0308' WHERE LEGACY_VENDOR_ID = 'FASTENAL' AND DATA_FOLDER_ID = 'sampl'</v>
      </c>
      <c r="F304" t="str">
        <f t="shared" si="16"/>
        <v>Changed</v>
      </c>
      <c r="G304" t="str">
        <f t="shared" si="17"/>
        <v>-</v>
      </c>
    </row>
    <row r="305" spans="1:7" x14ac:dyDescent="0.25">
      <c r="A305" s="2" t="s">
        <v>1</v>
      </c>
      <c r="B305" s="9" t="s">
        <v>342</v>
      </c>
      <c r="C305" t="s">
        <v>1344</v>
      </c>
      <c r="D305" s="5" t="s">
        <v>2342</v>
      </c>
      <c r="E305" t="str">
        <f t="shared" si="15"/>
        <v>UPDATE [MAP].[T_TRANS_VENDOR] SET NEW_VENDOR_ID = 'V0309' WHERE LEGACY_VENDOR_ID = 'FASTSIGN' AND DATA_FOLDER_ID = 'sampl'</v>
      </c>
      <c r="F305" t="str">
        <f t="shared" si="16"/>
        <v>Changed</v>
      </c>
      <c r="G305" t="str">
        <f t="shared" si="17"/>
        <v>-</v>
      </c>
    </row>
    <row r="306" spans="1:7" x14ac:dyDescent="0.25">
      <c r="A306" s="2" t="s">
        <v>1</v>
      </c>
      <c r="B306" s="9" t="s">
        <v>343</v>
      </c>
      <c r="C306" t="s">
        <v>1345</v>
      </c>
      <c r="D306" s="5" t="s">
        <v>2343</v>
      </c>
      <c r="E306" t="str">
        <f t="shared" si="15"/>
        <v>UPDATE [MAP].[T_TRANS_VENDOR] SET NEW_VENDOR_ID = 'V0310' WHERE LEGACY_VENDOR_ID = 'FASTSIVA' AND DATA_FOLDER_ID = 'sampl'</v>
      </c>
      <c r="F306" t="str">
        <f t="shared" si="16"/>
        <v>Changed</v>
      </c>
      <c r="G306" t="str">
        <f t="shared" si="17"/>
        <v>-</v>
      </c>
    </row>
    <row r="307" spans="1:7" x14ac:dyDescent="0.25">
      <c r="A307" s="2" t="s">
        <v>1</v>
      </c>
      <c r="B307" s="9" t="s">
        <v>344</v>
      </c>
      <c r="C307" t="s">
        <v>1346</v>
      </c>
      <c r="D307" s="5" t="s">
        <v>2344</v>
      </c>
      <c r="E307" t="str">
        <f t="shared" si="15"/>
        <v>UPDATE [MAP].[T_TRANS_VENDOR] SET NEW_VENDOR_ID = 'V0311' WHERE LEGACY_VENDOR_ID = 'FEDERAL' AND DATA_FOLDER_ID = 'sampl'</v>
      </c>
      <c r="F307" t="str">
        <f t="shared" si="16"/>
        <v>Changed</v>
      </c>
      <c r="G307" t="str">
        <f t="shared" si="17"/>
        <v>-</v>
      </c>
    </row>
    <row r="308" spans="1:7" x14ac:dyDescent="0.25">
      <c r="A308" s="2" t="s">
        <v>1</v>
      </c>
      <c r="B308" s="9" t="s">
        <v>345</v>
      </c>
      <c r="C308" t="s">
        <v>1347</v>
      </c>
      <c r="D308" s="5" t="s">
        <v>2345</v>
      </c>
      <c r="E308" t="str">
        <f t="shared" si="15"/>
        <v>UPDATE [MAP].[T_TRANS_VENDOR] SET NEW_VENDOR_ID = 'V0312' WHERE LEGACY_VENDOR_ID = 'FEDERALE' AND DATA_FOLDER_ID = 'sampl'</v>
      </c>
      <c r="F308" t="str">
        <f t="shared" si="16"/>
        <v>Changed</v>
      </c>
      <c r="G308" t="str">
        <f t="shared" si="17"/>
        <v>-</v>
      </c>
    </row>
    <row r="309" spans="1:7" x14ac:dyDescent="0.25">
      <c r="A309" s="2" t="s">
        <v>1</v>
      </c>
      <c r="B309" s="9" t="s">
        <v>346</v>
      </c>
      <c r="C309" t="s">
        <v>1348</v>
      </c>
      <c r="D309" s="5" t="s">
        <v>2346</v>
      </c>
      <c r="E309" t="str">
        <f t="shared" si="15"/>
        <v>UPDATE [MAP].[T_TRANS_VENDOR] SET NEW_VENDOR_ID = 'V0313' WHERE LEGACY_VENDOR_ID = 'FEHLINGR' AND DATA_FOLDER_ID = 'sampl'</v>
      </c>
      <c r="F309" t="str">
        <f t="shared" si="16"/>
        <v>Changed</v>
      </c>
      <c r="G309" t="str">
        <f t="shared" si="17"/>
        <v>-</v>
      </c>
    </row>
    <row r="310" spans="1:7" x14ac:dyDescent="0.25">
      <c r="A310" s="2" t="s">
        <v>1</v>
      </c>
      <c r="B310" s="9" t="s">
        <v>347</v>
      </c>
      <c r="C310" t="s">
        <v>1349</v>
      </c>
      <c r="D310" s="5" t="s">
        <v>2347</v>
      </c>
      <c r="E310" t="str">
        <f t="shared" si="15"/>
        <v>UPDATE [MAP].[T_TRANS_VENDOR] SET NEW_VENDOR_ID = 'V0314' WHERE LEGACY_VENDOR_ID = 'FERGUSON' AND DATA_FOLDER_ID = 'sampl'</v>
      </c>
      <c r="F310" t="str">
        <f t="shared" si="16"/>
        <v>Changed</v>
      </c>
      <c r="G310" t="str">
        <f t="shared" si="17"/>
        <v>-</v>
      </c>
    </row>
    <row r="311" spans="1:7" x14ac:dyDescent="0.25">
      <c r="A311" s="2" t="s">
        <v>1</v>
      </c>
      <c r="B311" s="9" t="s">
        <v>348</v>
      </c>
      <c r="C311" t="s">
        <v>1350</v>
      </c>
      <c r="D311" s="5" t="s">
        <v>2348</v>
      </c>
      <c r="E311" t="str">
        <f t="shared" si="15"/>
        <v>UPDATE [MAP].[T_TRANS_VENDOR] SET NEW_VENDOR_ID = 'V0315' WHERE LEGACY_VENDOR_ID = 'FERGWATE' AND DATA_FOLDER_ID = 'sampl'</v>
      </c>
      <c r="F311" t="str">
        <f t="shared" si="16"/>
        <v>Changed</v>
      </c>
      <c r="G311" t="str">
        <f t="shared" si="17"/>
        <v>-</v>
      </c>
    </row>
    <row r="312" spans="1:7" x14ac:dyDescent="0.25">
      <c r="A312" s="2" t="s">
        <v>1</v>
      </c>
      <c r="B312" s="9" t="s">
        <v>349</v>
      </c>
      <c r="C312" t="s">
        <v>1351</v>
      </c>
      <c r="D312" s="5" t="s">
        <v>2349</v>
      </c>
      <c r="E312" t="str">
        <f t="shared" si="15"/>
        <v>UPDATE [MAP].[T_TRANS_VENDOR] SET NEW_VENDOR_ID = 'V0316' WHERE LEGACY_VENDOR_ID = 'FEROCORP' AND DATA_FOLDER_ID = 'sampl'</v>
      </c>
      <c r="F312" t="str">
        <f t="shared" si="16"/>
        <v>Changed</v>
      </c>
      <c r="G312" t="str">
        <f t="shared" si="17"/>
        <v>-</v>
      </c>
    </row>
    <row r="313" spans="1:7" x14ac:dyDescent="0.25">
      <c r="A313" s="2" t="s">
        <v>1</v>
      </c>
      <c r="B313" s="9" t="s">
        <v>350</v>
      </c>
      <c r="C313" t="s">
        <v>1352</v>
      </c>
      <c r="D313" s="5" t="s">
        <v>2350</v>
      </c>
      <c r="E313" t="str">
        <f t="shared" si="15"/>
        <v>UPDATE [MAP].[T_TRANS_VENDOR] SET NEW_VENDOR_ID = 'V0317' WHERE LEGACY_VENDOR_ID = 'FETCHENS' AND DATA_FOLDER_ID = 'sampl'</v>
      </c>
      <c r="F313" t="str">
        <f t="shared" si="16"/>
        <v>Changed</v>
      </c>
      <c r="G313" t="str">
        <f t="shared" si="17"/>
        <v>-</v>
      </c>
    </row>
    <row r="314" spans="1:7" x14ac:dyDescent="0.25">
      <c r="A314" s="2" t="s">
        <v>1</v>
      </c>
      <c r="B314" s="9" t="s">
        <v>351</v>
      </c>
      <c r="C314" t="s">
        <v>1353</v>
      </c>
      <c r="D314" s="5" t="s">
        <v>2351</v>
      </c>
      <c r="E314" t="str">
        <f t="shared" si="15"/>
        <v>UPDATE [MAP].[T_TRANS_VENDOR] SET NEW_VENDOR_ID = 'V0318' WHERE LEGACY_VENDOR_ID = 'FINISHIN' AND DATA_FOLDER_ID = 'sampl'</v>
      </c>
      <c r="F314" t="str">
        <f t="shared" si="16"/>
        <v>Changed</v>
      </c>
      <c r="G314" t="str">
        <f t="shared" si="17"/>
        <v>-</v>
      </c>
    </row>
    <row r="315" spans="1:7" x14ac:dyDescent="0.25">
      <c r="A315" s="2" t="s">
        <v>1</v>
      </c>
      <c r="B315" s="9" t="s">
        <v>352</v>
      </c>
      <c r="C315" t="s">
        <v>1354</v>
      </c>
      <c r="D315" s="5" t="s">
        <v>2352</v>
      </c>
      <c r="E315" t="str">
        <f t="shared" si="15"/>
        <v>UPDATE [MAP].[T_TRANS_VENDOR] SET NEW_VENDOR_ID = 'V0319' WHERE LEGACY_VENDOR_ID = 'FIRSTCHO' AND DATA_FOLDER_ID = 'sampl'</v>
      </c>
      <c r="F315" t="str">
        <f t="shared" si="16"/>
        <v>Changed</v>
      </c>
      <c r="G315" t="str">
        <f t="shared" si="17"/>
        <v>-</v>
      </c>
    </row>
    <row r="316" spans="1:7" x14ac:dyDescent="0.25">
      <c r="A316" s="2" t="s">
        <v>1</v>
      </c>
      <c r="B316" s="9" t="s">
        <v>353</v>
      </c>
      <c r="C316" t="s">
        <v>1355</v>
      </c>
      <c r="D316" s="5" t="s">
        <v>2353</v>
      </c>
      <c r="E316" t="str">
        <f t="shared" si="15"/>
        <v>UPDATE [MAP].[T_TRANS_VENDOR] SET NEW_VENDOR_ID = 'V0320' WHERE LEGACY_VENDOR_ID = 'FIRSTPEN' AND DATA_FOLDER_ID = 'sampl'</v>
      </c>
      <c r="F316" t="str">
        <f t="shared" si="16"/>
        <v>Changed</v>
      </c>
      <c r="G316" t="str">
        <f t="shared" si="17"/>
        <v>-</v>
      </c>
    </row>
    <row r="317" spans="1:7" x14ac:dyDescent="0.25">
      <c r="A317" s="2" t="s">
        <v>1</v>
      </c>
      <c r="B317" s="9" t="s">
        <v>354</v>
      </c>
      <c r="C317" t="s">
        <v>1356</v>
      </c>
      <c r="D317" s="5" t="s">
        <v>2354</v>
      </c>
      <c r="E317" t="str">
        <f t="shared" si="15"/>
        <v>UPDATE [MAP].[T_TRANS_VENDOR] SET NEW_VENDOR_ID = 'V0321' WHERE LEGACY_VENDOR_ID = 'FISHERLU' AND DATA_FOLDER_ID = 'sampl'</v>
      </c>
      <c r="F317" t="str">
        <f t="shared" si="16"/>
        <v>Changed</v>
      </c>
      <c r="G317" t="str">
        <f t="shared" si="17"/>
        <v>-</v>
      </c>
    </row>
    <row r="318" spans="1:7" x14ac:dyDescent="0.25">
      <c r="A318" s="2" t="s">
        <v>1</v>
      </c>
      <c r="B318" s="9" t="s">
        <v>355</v>
      </c>
      <c r="C318" t="s">
        <v>1357</v>
      </c>
      <c r="D318" s="5" t="s">
        <v>2355</v>
      </c>
      <c r="E318" t="str">
        <f t="shared" si="15"/>
        <v>UPDATE [MAP].[T_TRANS_VENDOR] SET NEW_VENDOR_ID = 'V0322' WHERE LEGACY_VENDOR_ID = 'FIVESTAR' AND DATA_FOLDER_ID = 'sampl'</v>
      </c>
      <c r="F318" t="str">
        <f t="shared" si="16"/>
        <v>Changed</v>
      </c>
      <c r="G318" t="str">
        <f t="shared" si="17"/>
        <v>-</v>
      </c>
    </row>
    <row r="319" spans="1:7" x14ac:dyDescent="0.25">
      <c r="A319" s="2" t="s">
        <v>1</v>
      </c>
      <c r="B319" s="9" t="s">
        <v>356</v>
      </c>
      <c r="C319" t="s">
        <v>1358</v>
      </c>
      <c r="D319" s="5" t="s">
        <v>2356</v>
      </c>
      <c r="E319" t="str">
        <f t="shared" si="15"/>
        <v>UPDATE [MAP].[T_TRANS_VENDOR] SET NEW_VENDOR_ID = 'V0323' WHERE LEGACY_VENDOR_ID = 'FLAMEOFF' AND DATA_FOLDER_ID = 'sampl'</v>
      </c>
      <c r="F319" t="str">
        <f t="shared" si="16"/>
        <v>Changed</v>
      </c>
      <c r="G319" t="str">
        <f t="shared" si="17"/>
        <v>-</v>
      </c>
    </row>
    <row r="320" spans="1:7" x14ac:dyDescent="0.25">
      <c r="A320" s="2" t="s">
        <v>1</v>
      </c>
      <c r="B320" s="9" t="s">
        <v>357</v>
      </c>
      <c r="C320" t="s">
        <v>1359</v>
      </c>
      <c r="D320" s="5" t="s">
        <v>2357</v>
      </c>
      <c r="E320" t="str">
        <f t="shared" si="15"/>
        <v>UPDATE [MAP].[T_TRANS_VENDOR] SET NEW_VENDOR_ID = 'V0324' WHERE LEGACY_VENDOR_ID = 'FLEETPRI' AND DATA_FOLDER_ID = 'sampl'</v>
      </c>
      <c r="F320" t="str">
        <f t="shared" si="16"/>
        <v>Changed</v>
      </c>
      <c r="G320" t="str">
        <f t="shared" si="17"/>
        <v>-</v>
      </c>
    </row>
    <row r="321" spans="1:7" x14ac:dyDescent="0.25">
      <c r="A321" s="2" t="s">
        <v>1</v>
      </c>
      <c r="B321" s="9" t="s">
        <v>358</v>
      </c>
      <c r="C321" t="s">
        <v>1360</v>
      </c>
      <c r="D321" s="5" t="s">
        <v>2358</v>
      </c>
      <c r="E321" t="str">
        <f t="shared" si="15"/>
        <v>UPDATE [MAP].[T_TRANS_VENDOR] SET NEW_VENDOR_ID = 'V0325' WHERE LEGACY_VENDOR_ID = 'FLEMINGT' AND DATA_FOLDER_ID = 'sampl'</v>
      </c>
      <c r="F321" t="str">
        <f t="shared" si="16"/>
        <v>Changed</v>
      </c>
      <c r="G321" t="str">
        <f t="shared" si="17"/>
        <v>-</v>
      </c>
    </row>
    <row r="322" spans="1:7" x14ac:dyDescent="0.25">
      <c r="A322" s="2" t="s">
        <v>1</v>
      </c>
      <c r="B322" s="9" t="s">
        <v>359</v>
      </c>
      <c r="C322" t="s">
        <v>1361</v>
      </c>
      <c r="D322" s="5" t="s">
        <v>2359</v>
      </c>
      <c r="E322" t="str">
        <f t="shared" si="15"/>
        <v>UPDATE [MAP].[T_TRANS_VENDOR] SET NEW_VENDOR_ID = 'V0327' WHERE LEGACY_VENDOR_ID = 'FLOORCOA' AND DATA_FOLDER_ID = 'sampl'</v>
      </c>
      <c r="F322" t="str">
        <f t="shared" si="16"/>
        <v>Changed</v>
      </c>
      <c r="G322" t="str">
        <f t="shared" si="17"/>
        <v>-</v>
      </c>
    </row>
    <row r="323" spans="1:7" x14ac:dyDescent="0.25">
      <c r="A323" s="2" t="s">
        <v>1</v>
      </c>
      <c r="B323" s="9" t="s">
        <v>360</v>
      </c>
      <c r="C323" t="s">
        <v>1362</v>
      </c>
      <c r="D323" s="5" t="s">
        <v>2360</v>
      </c>
      <c r="E323" t="str">
        <f t="shared" si="15"/>
        <v>UPDATE [MAP].[T_TRANS_VENDOR] SET NEW_VENDOR_ID = 'V0328' WHERE LEGACY_VENDOR_ID = 'FLORLINE' AND DATA_FOLDER_ID = 'sampl'</v>
      </c>
      <c r="F323" t="str">
        <f t="shared" si="16"/>
        <v>Changed</v>
      </c>
      <c r="G323" t="str">
        <f t="shared" si="17"/>
        <v>-</v>
      </c>
    </row>
    <row r="324" spans="1:7" x14ac:dyDescent="0.25">
      <c r="A324" s="2" t="s">
        <v>1</v>
      </c>
      <c r="B324" s="9" t="s">
        <v>361</v>
      </c>
      <c r="C324" t="s">
        <v>1363</v>
      </c>
      <c r="D324" s="5" t="s">
        <v>2361</v>
      </c>
      <c r="E324" t="str">
        <f t="shared" si="15"/>
        <v>UPDATE [MAP].[T_TRANS_VENDOR] SET NEW_VENDOR_ID = 'V0329' WHERE LEGACY_VENDOR_ID = 'FMICORP' AND DATA_FOLDER_ID = 'sampl'</v>
      </c>
      <c r="F324" t="str">
        <f t="shared" si="16"/>
        <v>Changed</v>
      </c>
      <c r="G324" t="str">
        <f t="shared" si="17"/>
        <v>-</v>
      </c>
    </row>
    <row r="325" spans="1:7" x14ac:dyDescent="0.25">
      <c r="A325" s="2" t="s">
        <v>1</v>
      </c>
      <c r="B325" s="9" t="s">
        <v>362</v>
      </c>
      <c r="C325" t="s">
        <v>1364</v>
      </c>
      <c r="D325" s="5" t="s">
        <v>2362</v>
      </c>
      <c r="E325" t="str">
        <f t="shared" si="15"/>
        <v>UPDATE [MAP].[T_TRANS_VENDOR] SET NEW_VENDOR_ID = 'V0330' WHERE LEGACY_VENDOR_ID = 'FORMSFUL' AND DATA_FOLDER_ID = 'sampl'</v>
      </c>
      <c r="F325" t="str">
        <f t="shared" si="16"/>
        <v>Changed</v>
      </c>
      <c r="G325" t="str">
        <f t="shared" si="17"/>
        <v>-</v>
      </c>
    </row>
    <row r="326" spans="1:7" x14ac:dyDescent="0.25">
      <c r="A326" s="2" t="s">
        <v>1</v>
      </c>
      <c r="B326" s="9" t="s">
        <v>363</v>
      </c>
      <c r="C326" t="s">
        <v>1365</v>
      </c>
      <c r="D326" s="5" t="s">
        <v>2363</v>
      </c>
      <c r="E326" t="str">
        <f t="shared" si="15"/>
        <v>UPDATE [MAP].[T_TRANS_VENDOR] SET NEW_VENDOR_ID = 'V0331' WHERE LEGACY_VENDOR_ID = 'FORRESTR' AND DATA_FOLDER_ID = 'sampl'</v>
      </c>
      <c r="F326" t="str">
        <f t="shared" si="16"/>
        <v>Changed</v>
      </c>
      <c r="G326" t="str">
        <f t="shared" si="17"/>
        <v>-</v>
      </c>
    </row>
    <row r="327" spans="1:7" x14ac:dyDescent="0.25">
      <c r="A327" s="2" t="s">
        <v>1</v>
      </c>
      <c r="B327" s="9" t="s">
        <v>364</v>
      </c>
      <c r="C327" t="s">
        <v>1366</v>
      </c>
      <c r="D327" s="5" t="s">
        <v>2364</v>
      </c>
      <c r="E327" t="str">
        <f t="shared" si="15"/>
        <v>UPDATE [MAP].[T_TRANS_VENDOR] SET NEW_VENDOR_ID = 'V0332' WHERE LEGACY_VENDOR_ID = 'FOUNDATE' AND DATA_FOLDER_ID = 'sampl'</v>
      </c>
      <c r="F327" t="str">
        <f t="shared" si="16"/>
        <v>Changed</v>
      </c>
      <c r="G327" t="str">
        <f t="shared" si="17"/>
        <v>-</v>
      </c>
    </row>
    <row r="328" spans="1:7" x14ac:dyDescent="0.25">
      <c r="A328" s="2" t="s">
        <v>1</v>
      </c>
      <c r="B328" s="9" t="s">
        <v>365</v>
      </c>
      <c r="C328" t="s">
        <v>1367</v>
      </c>
      <c r="D328" s="5" t="s">
        <v>2365</v>
      </c>
      <c r="E328" t="str">
        <f t="shared" si="15"/>
        <v>UPDATE [MAP].[T_TRANS_VENDOR] SET NEW_VENDOR_ID = 'V0333' WHERE LEGACY_VENDOR_ID = 'FOURWIND' AND DATA_FOLDER_ID = 'sampl'</v>
      </c>
      <c r="F328" t="str">
        <f t="shared" si="16"/>
        <v>Changed</v>
      </c>
      <c r="G328" t="str">
        <f t="shared" si="17"/>
        <v>-</v>
      </c>
    </row>
    <row r="329" spans="1:7" x14ac:dyDescent="0.25">
      <c r="A329" s="2" t="s">
        <v>1</v>
      </c>
      <c r="B329" s="9" t="s">
        <v>366</v>
      </c>
      <c r="C329" t="s">
        <v>1368</v>
      </c>
      <c r="D329" s="5" t="s">
        <v>2366</v>
      </c>
      <c r="E329" t="str">
        <f t="shared" si="15"/>
        <v>UPDATE [MAP].[T_TRANS_VENDOR] SET NEW_VENDOR_ID = 'V0334' WHERE LEGACY_VENDOR_ID = 'FRBEINKE' AND DATA_FOLDER_ID = 'sampl'</v>
      </c>
      <c r="F329" t="str">
        <f t="shared" si="16"/>
        <v>Changed</v>
      </c>
      <c r="G329" t="str">
        <f t="shared" si="17"/>
        <v>-</v>
      </c>
    </row>
    <row r="330" spans="1:7" x14ac:dyDescent="0.25">
      <c r="A330" s="2" t="s">
        <v>1</v>
      </c>
      <c r="B330" s="9" t="s">
        <v>367</v>
      </c>
      <c r="C330" t="s">
        <v>1369</v>
      </c>
      <c r="D330" s="5" t="s">
        <v>2367</v>
      </c>
      <c r="E330" t="str">
        <f t="shared" si="15"/>
        <v>UPDATE [MAP].[T_TRANS_VENDOR] SET NEW_VENDOR_ID = 'V0335' WHERE LEGACY_VENDOR_ID = 'FRCCOMPA' AND DATA_FOLDER_ID = 'sampl'</v>
      </c>
      <c r="F330" t="str">
        <f t="shared" si="16"/>
        <v>Changed</v>
      </c>
      <c r="G330" t="str">
        <f t="shared" si="17"/>
        <v>-</v>
      </c>
    </row>
    <row r="331" spans="1:7" x14ac:dyDescent="0.25">
      <c r="A331" s="2" t="s">
        <v>1</v>
      </c>
      <c r="B331" s="9" t="s">
        <v>368</v>
      </c>
      <c r="C331" t="s">
        <v>1370</v>
      </c>
      <c r="D331" s="5" t="s">
        <v>2368</v>
      </c>
      <c r="E331" t="str">
        <f t="shared" si="15"/>
        <v>UPDATE [MAP].[T_TRANS_VENDOR] SET NEW_VENDOR_ID = 'V0336' WHERE LEGACY_VENDOR_ID = 'FREESTATE' AND DATA_FOLDER_ID = 'sampl'</v>
      </c>
      <c r="F331" t="str">
        <f t="shared" si="16"/>
        <v>Changed</v>
      </c>
      <c r="G331" t="str">
        <f t="shared" si="17"/>
        <v>-</v>
      </c>
    </row>
    <row r="332" spans="1:7" x14ac:dyDescent="0.25">
      <c r="A332" s="2" t="s">
        <v>1</v>
      </c>
      <c r="B332" s="9" t="s">
        <v>369</v>
      </c>
      <c r="C332" t="s">
        <v>1371</v>
      </c>
      <c r="D332" s="5" t="s">
        <v>2369</v>
      </c>
      <c r="E332" t="str">
        <f t="shared" si="15"/>
        <v>UPDATE [MAP].[T_TRANS_VENDOR] SET NEW_VENDOR_ID = 'V0337' WHERE LEGACY_VENDOR_ID = 'FRONTIER' AND DATA_FOLDER_ID = 'sampl'</v>
      </c>
      <c r="F332" t="str">
        <f t="shared" si="16"/>
        <v>Changed</v>
      </c>
      <c r="G332" t="str">
        <f t="shared" si="17"/>
        <v>-</v>
      </c>
    </row>
    <row r="333" spans="1:7" x14ac:dyDescent="0.25">
      <c r="A333" s="2" t="s">
        <v>1</v>
      </c>
      <c r="B333" s="9" t="s">
        <v>370</v>
      </c>
      <c r="C333" t="s">
        <v>1372</v>
      </c>
      <c r="D333" s="5" t="s">
        <v>2370</v>
      </c>
      <c r="E333" t="str">
        <f t="shared" si="15"/>
        <v>UPDATE [MAP].[T_TRANS_VENDOR] SET NEW_VENDOR_ID = 'V0338' WHERE LEGACY_VENDOR_ID = 'FSINDUST' AND DATA_FOLDER_ID = 'sampl'</v>
      </c>
      <c r="F333" t="str">
        <f t="shared" si="16"/>
        <v>Changed</v>
      </c>
      <c r="G333" t="str">
        <f t="shared" si="17"/>
        <v>-</v>
      </c>
    </row>
    <row r="334" spans="1:7" x14ac:dyDescent="0.25">
      <c r="A334" s="2" t="s">
        <v>1</v>
      </c>
      <c r="B334" s="9" t="s">
        <v>371</v>
      </c>
      <c r="C334" t="s">
        <v>1373</v>
      </c>
      <c r="D334" s="5" t="s">
        <v>2371</v>
      </c>
      <c r="E334" t="str">
        <f t="shared" si="15"/>
        <v>UPDATE [MAP].[T_TRANS_VENDOR] SET NEW_VENDOR_ID = 'V0339' WHERE LEGACY_VENDOR_ID = 'FULMERS' AND DATA_FOLDER_ID = 'sampl'</v>
      </c>
      <c r="F334" t="str">
        <f t="shared" si="16"/>
        <v>Changed</v>
      </c>
      <c r="G334" t="str">
        <f t="shared" si="17"/>
        <v>-</v>
      </c>
    </row>
    <row r="335" spans="1:7" x14ac:dyDescent="0.25">
      <c r="A335" s="2" t="s">
        <v>1</v>
      </c>
      <c r="B335" s="9" t="s">
        <v>372</v>
      </c>
      <c r="C335" t="s">
        <v>1374</v>
      </c>
      <c r="D335" s="5" t="s">
        <v>2372</v>
      </c>
      <c r="E335" t="str">
        <f t="shared" ref="E335:E398" si="18">"UPDATE "&amp;$E$3&amp;" SET NEW_VENDOR_ID = '"&amp;D335&amp;"' WHERE LEGACY_VENDOR_ID = '"&amp;B335&amp;"' AND DATA_FOLDER_ID = '"&amp;$A335&amp;"'"</f>
        <v>UPDATE [MAP].[T_TRANS_VENDOR] SET NEW_VENDOR_ID = 'V0340' WHERE LEGACY_VENDOR_ID = 'G&amp;SCONTA' AND DATA_FOLDER_ID = 'sampl'</v>
      </c>
      <c r="F335" t="str">
        <f t="shared" ref="F335:F398" si="19">IF(B335&lt;&gt;D335,"Changed","-")</f>
        <v>Changed</v>
      </c>
      <c r="G335" t="str">
        <f t="shared" ref="G335:G398" si="20">IF(B335="","Hide","-")</f>
        <v>-</v>
      </c>
    </row>
    <row r="336" spans="1:7" x14ac:dyDescent="0.25">
      <c r="A336" s="2" t="s">
        <v>1</v>
      </c>
      <c r="B336" s="9" t="s">
        <v>373</v>
      </c>
      <c r="C336" t="s">
        <v>1375</v>
      </c>
      <c r="D336" s="5" t="s">
        <v>2373</v>
      </c>
      <c r="E336" t="str">
        <f t="shared" si="18"/>
        <v>UPDATE [MAP].[T_TRANS_VENDOR] SET NEW_VENDOR_ID = 'V0341' WHERE LEGACY_VENDOR_ID = 'GAICONSU' AND DATA_FOLDER_ID = 'sampl'</v>
      </c>
      <c r="F336" t="str">
        <f t="shared" si="19"/>
        <v>Changed</v>
      </c>
      <c r="G336" t="str">
        <f t="shared" si="20"/>
        <v>-</v>
      </c>
    </row>
    <row r="337" spans="1:7" x14ac:dyDescent="0.25">
      <c r="A337" s="2" t="s">
        <v>1</v>
      </c>
      <c r="B337" s="9" t="s">
        <v>374</v>
      </c>
      <c r="C337" t="s">
        <v>1376</v>
      </c>
      <c r="D337" s="5" t="s">
        <v>2374</v>
      </c>
      <c r="E337" t="str">
        <f t="shared" si="18"/>
        <v>UPDATE [MAP].[T_TRANS_VENDOR] SET NEW_VENDOR_ID = 'V0342' WHERE LEGACY_VENDOR_ID = 'GALDIERI' AND DATA_FOLDER_ID = 'sampl'</v>
      </c>
      <c r="F337" t="str">
        <f t="shared" si="19"/>
        <v>Changed</v>
      </c>
      <c r="G337" t="str">
        <f t="shared" si="20"/>
        <v>-</v>
      </c>
    </row>
    <row r="338" spans="1:7" x14ac:dyDescent="0.25">
      <c r="A338" s="2" t="s">
        <v>1</v>
      </c>
      <c r="B338" s="9" t="s">
        <v>375</v>
      </c>
      <c r="C338" t="s">
        <v>1377</v>
      </c>
      <c r="D338" s="5" t="s">
        <v>2375</v>
      </c>
      <c r="E338" t="str">
        <f t="shared" si="18"/>
        <v>UPDATE [MAP].[T_TRANS_VENDOR] SET NEW_VENDOR_ID = 'V0343' WHERE LEGACY_VENDOR_ID = 'GARYAUTO' AND DATA_FOLDER_ID = 'sampl'</v>
      </c>
      <c r="F338" t="str">
        <f t="shared" si="19"/>
        <v>Changed</v>
      </c>
      <c r="G338" t="str">
        <f t="shared" si="20"/>
        <v>-</v>
      </c>
    </row>
    <row r="339" spans="1:7" x14ac:dyDescent="0.25">
      <c r="A339" s="2" t="s">
        <v>1</v>
      </c>
      <c r="B339" s="9" t="s">
        <v>376</v>
      </c>
      <c r="C339" t="s">
        <v>1378</v>
      </c>
      <c r="D339" s="5" t="s">
        <v>2376</v>
      </c>
      <c r="E339" t="str">
        <f t="shared" si="18"/>
        <v>UPDATE [MAP].[T_TRANS_VENDOR] SET NEW_VENDOR_ID = 'V0344' WHERE LEGACY_VENDOR_ID = 'GATTIMOR' AND DATA_FOLDER_ID = 'sampl'</v>
      </c>
      <c r="F339" t="str">
        <f t="shared" si="19"/>
        <v>Changed</v>
      </c>
      <c r="G339" t="str">
        <f t="shared" si="20"/>
        <v>-</v>
      </c>
    </row>
    <row r="340" spans="1:7" x14ac:dyDescent="0.25">
      <c r="A340" s="2" t="s">
        <v>1</v>
      </c>
      <c r="B340" s="9" t="s">
        <v>377</v>
      </c>
      <c r="C340" t="s">
        <v>1379</v>
      </c>
      <c r="D340" s="5" t="s">
        <v>2377</v>
      </c>
      <c r="E340" t="str">
        <f t="shared" si="18"/>
        <v>UPDATE [MAP].[T_TRANS_VENDOR] SET NEW_VENDOR_ID = 'V0345' WHERE LEGACY_VENDOR_ID = 'GAUDELLI' AND DATA_FOLDER_ID = 'sampl'</v>
      </c>
      <c r="F340" t="str">
        <f t="shared" si="19"/>
        <v>Changed</v>
      </c>
      <c r="G340" t="str">
        <f t="shared" si="20"/>
        <v>-</v>
      </c>
    </row>
    <row r="341" spans="1:7" x14ac:dyDescent="0.25">
      <c r="A341" s="2" t="s">
        <v>1</v>
      </c>
      <c r="B341" s="9" t="s">
        <v>378</v>
      </c>
      <c r="C341" t="s">
        <v>1380</v>
      </c>
      <c r="D341" s="5" t="s">
        <v>2378</v>
      </c>
      <c r="E341" t="str">
        <f t="shared" si="18"/>
        <v>UPDATE [MAP].[T_TRANS_VENDOR] SET NEW_VENDOR_ID = 'V0346' WHERE LEGACY_VENDOR_ID = 'GCELECTRIC' AND DATA_FOLDER_ID = 'sampl'</v>
      </c>
      <c r="F341" t="str">
        <f t="shared" si="19"/>
        <v>Changed</v>
      </c>
      <c r="G341" t="str">
        <f t="shared" si="20"/>
        <v>-</v>
      </c>
    </row>
    <row r="342" spans="1:7" x14ac:dyDescent="0.25">
      <c r="A342" s="2" t="s">
        <v>1</v>
      </c>
      <c r="B342" s="9" t="s">
        <v>379</v>
      </c>
      <c r="C342" t="s">
        <v>1381</v>
      </c>
      <c r="D342" s="5" t="s">
        <v>2379</v>
      </c>
      <c r="E342" t="str">
        <f t="shared" si="18"/>
        <v>UPDATE [MAP].[T_TRANS_VENDOR] SET NEW_VENDOR_ID = 'V0347' WHERE LEGACY_VENDOR_ID = 'GCFIREPR' AND DATA_FOLDER_ID = 'sampl'</v>
      </c>
      <c r="F342" t="str">
        <f t="shared" si="19"/>
        <v>Changed</v>
      </c>
      <c r="G342" t="str">
        <f t="shared" si="20"/>
        <v>-</v>
      </c>
    </row>
    <row r="343" spans="1:7" x14ac:dyDescent="0.25">
      <c r="A343" s="2" t="s">
        <v>1</v>
      </c>
      <c r="B343" s="9" t="s">
        <v>380</v>
      </c>
      <c r="C343" t="s">
        <v>1382</v>
      </c>
      <c r="D343" s="5" t="s">
        <v>2380</v>
      </c>
      <c r="E343" t="str">
        <f t="shared" si="18"/>
        <v>UPDATE [MAP].[T_TRANS_VENDOR] SET NEW_VENDOR_ID = 'V0348' WHERE LEGACY_VENDOR_ID = 'GEISING0' AND DATA_FOLDER_ID = 'sampl'</v>
      </c>
      <c r="F343" t="str">
        <f t="shared" si="19"/>
        <v>Changed</v>
      </c>
      <c r="G343" t="str">
        <f t="shared" si="20"/>
        <v>-</v>
      </c>
    </row>
    <row r="344" spans="1:7" x14ac:dyDescent="0.25">
      <c r="A344" s="2" t="s">
        <v>1</v>
      </c>
      <c r="B344" s="9" t="s">
        <v>381</v>
      </c>
      <c r="C344" t="s">
        <v>1383</v>
      </c>
      <c r="D344" s="5" t="s">
        <v>2381</v>
      </c>
      <c r="E344" t="str">
        <f t="shared" si="18"/>
        <v>UPDATE [MAP].[T_TRANS_VENDOR] SET NEW_VENDOR_ID = 'V0349' WHERE LEGACY_VENDOR_ID = 'GEISINGERF' AND DATA_FOLDER_ID = 'sampl'</v>
      </c>
      <c r="F344" t="str">
        <f t="shared" si="19"/>
        <v>Changed</v>
      </c>
      <c r="G344" t="str">
        <f t="shared" si="20"/>
        <v>-</v>
      </c>
    </row>
    <row r="345" spans="1:7" x14ac:dyDescent="0.25">
      <c r="A345" s="2" t="s">
        <v>1</v>
      </c>
      <c r="B345" s="9" t="s">
        <v>382</v>
      </c>
      <c r="C345" t="s">
        <v>1384</v>
      </c>
      <c r="D345" s="5" t="s">
        <v>2382</v>
      </c>
      <c r="E345" t="str">
        <f t="shared" si="18"/>
        <v>UPDATE [MAP].[T_TRANS_VENDOR] SET NEW_VENDOR_ID = 'V0350' WHERE LEGACY_VENDOR_ID = 'GEMGROUP' AND DATA_FOLDER_ID = 'sampl'</v>
      </c>
      <c r="F345" t="str">
        <f t="shared" si="19"/>
        <v>Changed</v>
      </c>
      <c r="G345" t="str">
        <f t="shared" si="20"/>
        <v>-</v>
      </c>
    </row>
    <row r="346" spans="1:7" x14ac:dyDescent="0.25">
      <c r="A346" s="2" t="s">
        <v>1</v>
      </c>
      <c r="B346" s="9" t="s">
        <v>383</v>
      </c>
      <c r="C346" t="s">
        <v>1385</v>
      </c>
      <c r="D346" s="5" t="s">
        <v>2383</v>
      </c>
      <c r="E346" t="str">
        <f t="shared" si="18"/>
        <v>UPDATE [MAP].[T_TRANS_VENDOR] SET NEW_VENDOR_ID = 'V0351' WHERE LEGACY_VENDOR_ID = 'GENFARE' AND DATA_FOLDER_ID = 'sampl'</v>
      </c>
      <c r="F346" t="str">
        <f t="shared" si="19"/>
        <v>Changed</v>
      </c>
      <c r="G346" t="str">
        <f t="shared" si="20"/>
        <v>-</v>
      </c>
    </row>
    <row r="347" spans="1:7" x14ac:dyDescent="0.25">
      <c r="A347" s="2" t="s">
        <v>1</v>
      </c>
      <c r="B347" s="9" t="s">
        <v>384</v>
      </c>
      <c r="C347" t="s">
        <v>1386</v>
      </c>
      <c r="D347" s="5" t="s">
        <v>2384</v>
      </c>
      <c r="E347" t="str">
        <f t="shared" si="18"/>
        <v>UPDATE [MAP].[T_TRANS_VENDOR] SET NEW_VENDOR_ID = 'V0352' WHERE LEGACY_VENDOR_ID = 'GENFLEXR' AND DATA_FOLDER_ID = 'sampl'</v>
      </c>
      <c r="F347" t="str">
        <f t="shared" si="19"/>
        <v>Changed</v>
      </c>
      <c r="G347" t="str">
        <f t="shared" si="20"/>
        <v>-</v>
      </c>
    </row>
    <row r="348" spans="1:7" x14ac:dyDescent="0.25">
      <c r="A348" s="2" t="s">
        <v>1</v>
      </c>
      <c r="B348" s="9" t="s">
        <v>385</v>
      </c>
      <c r="C348" t="s">
        <v>1387</v>
      </c>
      <c r="D348" s="5" t="s">
        <v>2385</v>
      </c>
      <c r="E348" t="str">
        <f t="shared" si="18"/>
        <v>UPDATE [MAP].[T_TRANS_VENDOR] SET NEW_VENDOR_ID = 'V0353' WHERE LEGACY_VENDOR_ID = 'GENSTEEL' AND DATA_FOLDER_ID = 'sampl'</v>
      </c>
      <c r="F348" t="str">
        <f t="shared" si="19"/>
        <v>Changed</v>
      </c>
      <c r="G348" t="str">
        <f t="shared" si="20"/>
        <v>-</v>
      </c>
    </row>
    <row r="349" spans="1:7" x14ac:dyDescent="0.25">
      <c r="A349" s="2" t="s">
        <v>1</v>
      </c>
      <c r="B349" s="9" t="s">
        <v>386</v>
      </c>
      <c r="C349" t="s">
        <v>1388</v>
      </c>
      <c r="D349" s="5" t="s">
        <v>2386</v>
      </c>
      <c r="E349" t="str">
        <f t="shared" si="18"/>
        <v>UPDATE [MAP].[T_TRANS_VENDOR] SET NEW_VENDOR_ID = 'V0354' WHERE LEGACY_VENDOR_ID = 'GEORGETI' AND DATA_FOLDER_ID = 'sampl'</v>
      </c>
      <c r="F349" t="str">
        <f t="shared" si="19"/>
        <v>Changed</v>
      </c>
      <c r="G349" t="str">
        <f t="shared" si="20"/>
        <v>-</v>
      </c>
    </row>
    <row r="350" spans="1:7" x14ac:dyDescent="0.25">
      <c r="A350" s="2" t="s">
        <v>1</v>
      </c>
      <c r="B350" s="9" t="s">
        <v>387</v>
      </c>
      <c r="C350" t="s">
        <v>1389</v>
      </c>
      <c r="D350" s="5" t="s">
        <v>2387</v>
      </c>
      <c r="E350" t="str">
        <f t="shared" si="18"/>
        <v>UPDATE [MAP].[T_TRANS_VENDOR] SET NEW_VENDOR_ID = 'V0355' WHERE LEGACY_VENDOR_ID = 'GEOSCIEN' AND DATA_FOLDER_ID = 'sampl'</v>
      </c>
      <c r="F350" t="str">
        <f t="shared" si="19"/>
        <v>Changed</v>
      </c>
      <c r="G350" t="str">
        <f t="shared" si="20"/>
        <v>-</v>
      </c>
    </row>
    <row r="351" spans="1:7" x14ac:dyDescent="0.25">
      <c r="A351" s="2" t="s">
        <v>1</v>
      </c>
      <c r="B351" s="9" t="s">
        <v>388</v>
      </c>
      <c r="C351" t="s">
        <v>1390</v>
      </c>
      <c r="D351" s="5" t="s">
        <v>2388</v>
      </c>
      <c r="E351" t="str">
        <f t="shared" si="18"/>
        <v>UPDATE [MAP].[T_TRANS_VENDOR] SET NEW_VENDOR_ID = 'V0356' WHERE LEGACY_VENDOR_ID = 'GERDAUAM' AND DATA_FOLDER_ID = 'sampl'</v>
      </c>
      <c r="F351" t="str">
        <f t="shared" si="19"/>
        <v>Changed</v>
      </c>
      <c r="G351" t="str">
        <f t="shared" si="20"/>
        <v>-</v>
      </c>
    </row>
    <row r="352" spans="1:7" x14ac:dyDescent="0.25">
      <c r="A352" s="2" t="s">
        <v>1</v>
      </c>
      <c r="B352" s="9" t="s">
        <v>389</v>
      </c>
      <c r="C352" t="s">
        <v>1391</v>
      </c>
      <c r="D352" s="5" t="s">
        <v>2389</v>
      </c>
      <c r="E352" t="str">
        <f t="shared" si="18"/>
        <v>UPDATE [MAP].[T_TRANS_VENDOR] SET NEW_VENDOR_ID = 'V0357' WHERE LEGACY_VENDOR_ID = 'GIANTFLO' AND DATA_FOLDER_ID = 'sampl'</v>
      </c>
      <c r="F352" t="str">
        <f t="shared" si="19"/>
        <v>Changed</v>
      </c>
      <c r="G352" t="str">
        <f t="shared" si="20"/>
        <v>-</v>
      </c>
    </row>
    <row r="353" spans="1:7" x14ac:dyDescent="0.25">
      <c r="A353" s="2" t="s">
        <v>1</v>
      </c>
      <c r="B353" s="9" t="s">
        <v>390</v>
      </c>
      <c r="C353" t="s">
        <v>1392</v>
      </c>
      <c r="D353" s="5" t="s">
        <v>2390</v>
      </c>
      <c r="E353" t="str">
        <f t="shared" si="18"/>
        <v>UPDATE [MAP].[T_TRANS_VENDOR] SET NEW_VENDOR_ID = 'V0358' WHERE LEGACY_VENDOR_ID = 'GILBOY' AND DATA_FOLDER_ID = 'sampl'</v>
      </c>
      <c r="F353" t="str">
        <f t="shared" si="19"/>
        <v>Changed</v>
      </c>
      <c r="G353" t="str">
        <f t="shared" si="20"/>
        <v>-</v>
      </c>
    </row>
    <row r="354" spans="1:7" x14ac:dyDescent="0.25">
      <c r="A354" s="2" t="s">
        <v>1</v>
      </c>
      <c r="B354" s="9" t="s">
        <v>391</v>
      </c>
      <c r="C354" t="s">
        <v>1393</v>
      </c>
      <c r="D354" s="5" t="s">
        <v>2391</v>
      </c>
      <c r="E354" t="str">
        <f t="shared" si="18"/>
        <v>UPDATE [MAP].[T_TRANS_VENDOR] SET NEW_VENDOR_ID = 'V0359' WHERE LEGACY_VENDOR_ID = 'GLECOPAI' AND DATA_FOLDER_ID = 'sampl'</v>
      </c>
      <c r="F354" t="str">
        <f t="shared" si="19"/>
        <v>Changed</v>
      </c>
      <c r="G354" t="str">
        <f t="shared" si="20"/>
        <v>-</v>
      </c>
    </row>
    <row r="355" spans="1:7" x14ac:dyDescent="0.25">
      <c r="A355" s="2" t="s">
        <v>1</v>
      </c>
      <c r="B355" s="9" t="s">
        <v>392</v>
      </c>
      <c r="C355" t="s">
        <v>1394</v>
      </c>
      <c r="D355" s="5" t="s">
        <v>2392</v>
      </c>
      <c r="E355" t="str">
        <f t="shared" si="18"/>
        <v>UPDATE [MAP].[T_TRANS_VENDOR] SET NEW_VENDOR_ID = 'V0360' WHERE LEGACY_VENDOR_ID = 'GLENOAKC' AND DATA_FOLDER_ID = 'sampl'</v>
      </c>
      <c r="F355" t="str">
        <f t="shared" si="19"/>
        <v>Changed</v>
      </c>
      <c r="G355" t="str">
        <f t="shared" si="20"/>
        <v>-</v>
      </c>
    </row>
    <row r="356" spans="1:7" x14ac:dyDescent="0.25">
      <c r="A356" s="2" t="s">
        <v>1</v>
      </c>
      <c r="B356" s="9" t="s">
        <v>393</v>
      </c>
      <c r="C356" t="s">
        <v>1395</v>
      </c>
      <c r="D356" s="5" t="s">
        <v>2393</v>
      </c>
      <c r="E356" t="str">
        <f t="shared" si="18"/>
        <v>UPDATE [MAP].[T_TRANS_VENDOR] SET NEW_VENDOR_ID = 'V0361' WHERE LEGACY_VENDOR_ID = 'GLENSUMM' AND DATA_FOLDER_ID = 'sampl'</v>
      </c>
      <c r="F356" t="str">
        <f t="shared" si="19"/>
        <v>Changed</v>
      </c>
      <c r="G356" t="str">
        <f t="shared" si="20"/>
        <v>-</v>
      </c>
    </row>
    <row r="357" spans="1:7" x14ac:dyDescent="0.25">
      <c r="A357" s="2" t="s">
        <v>1</v>
      </c>
      <c r="B357" s="9" t="s">
        <v>394</v>
      </c>
      <c r="C357" t="s">
        <v>1396</v>
      </c>
      <c r="D357" s="5" t="s">
        <v>2394</v>
      </c>
      <c r="E357" t="str">
        <f t="shared" si="18"/>
        <v>UPDATE [MAP].[T_TRANS_VENDOR] SET NEW_VENDOR_ID = 'V0362' WHERE LEGACY_VENDOR_ID = 'GOLDINST' AND DATA_FOLDER_ID = 'sampl'</v>
      </c>
      <c r="F357" t="str">
        <f t="shared" si="19"/>
        <v>Changed</v>
      </c>
      <c r="G357" t="str">
        <f t="shared" si="20"/>
        <v>-</v>
      </c>
    </row>
    <row r="358" spans="1:7" x14ac:dyDescent="0.25">
      <c r="A358" s="2" t="s">
        <v>1</v>
      </c>
      <c r="B358" s="9" t="s">
        <v>395</v>
      </c>
      <c r="C358" t="s">
        <v>1397</v>
      </c>
      <c r="D358" s="5" t="s">
        <v>2395</v>
      </c>
      <c r="E358" t="str">
        <f t="shared" si="18"/>
        <v>UPDATE [MAP].[T_TRANS_VENDOR] SET NEW_VENDOR_ID = 'V0363' WHERE LEGACY_VENDOR_ID = 'GOODSTREES' AND DATA_FOLDER_ID = 'sampl'</v>
      </c>
      <c r="F358" t="str">
        <f t="shared" si="19"/>
        <v>Changed</v>
      </c>
      <c r="G358" t="str">
        <f t="shared" si="20"/>
        <v>-</v>
      </c>
    </row>
    <row r="359" spans="1:7" x14ac:dyDescent="0.25">
      <c r="A359" s="2" t="s">
        <v>1</v>
      </c>
      <c r="B359" s="9" t="s">
        <v>396</v>
      </c>
      <c r="C359" t="s">
        <v>1398</v>
      </c>
      <c r="D359" s="5" t="s">
        <v>2396</v>
      </c>
      <c r="E359" t="str">
        <f t="shared" si="18"/>
        <v>UPDATE [MAP].[T_TRANS_VENDOR] SET NEW_VENDOR_ID = 'V0364' WHERE LEGACY_VENDOR_ID = 'GOTTAGOP' AND DATA_FOLDER_ID = 'sampl'</v>
      </c>
      <c r="F359" t="str">
        <f t="shared" si="19"/>
        <v>Changed</v>
      </c>
      <c r="G359" t="str">
        <f t="shared" si="20"/>
        <v>-</v>
      </c>
    </row>
    <row r="360" spans="1:7" x14ac:dyDescent="0.25">
      <c r="A360" s="2" t="s">
        <v>1</v>
      </c>
      <c r="B360" s="9" t="s">
        <v>397</v>
      </c>
      <c r="C360" t="s">
        <v>1399</v>
      </c>
      <c r="D360" s="5" t="s">
        <v>2397</v>
      </c>
      <c r="E360" t="str">
        <f t="shared" si="18"/>
        <v>UPDATE [MAP].[T_TRANS_VENDOR] SET NEW_VENDOR_ID = 'V0365' WHERE LEGACY_VENDOR_ID = 'GRACIE' AND DATA_FOLDER_ID = 'sampl'</v>
      </c>
      <c r="F360" t="str">
        <f t="shared" si="19"/>
        <v>Changed</v>
      </c>
      <c r="G360" t="str">
        <f t="shared" si="20"/>
        <v>-</v>
      </c>
    </row>
    <row r="361" spans="1:7" x14ac:dyDescent="0.25">
      <c r="A361" s="2" t="s">
        <v>1</v>
      </c>
      <c r="B361" s="9" t="s">
        <v>398</v>
      </c>
      <c r="C361" t="s">
        <v>1400</v>
      </c>
      <c r="D361" s="5" t="s">
        <v>2398</v>
      </c>
      <c r="E361" t="str">
        <f t="shared" si="18"/>
        <v>UPDATE [MAP].[T_TRANS_VENDOR] SET NEW_VENDOR_ID = 'V0366' WHERE LEGACY_VENDOR_ID = 'GRAHAMAR' AND DATA_FOLDER_ID = 'sampl'</v>
      </c>
      <c r="F361" t="str">
        <f t="shared" si="19"/>
        <v>Changed</v>
      </c>
      <c r="G361" t="str">
        <f t="shared" si="20"/>
        <v>-</v>
      </c>
    </row>
    <row r="362" spans="1:7" x14ac:dyDescent="0.25">
      <c r="A362" s="2" t="s">
        <v>1</v>
      </c>
      <c r="B362" s="9" t="s">
        <v>399</v>
      </c>
      <c r="C362" t="s">
        <v>1401</v>
      </c>
      <c r="D362" s="5" t="s">
        <v>2399</v>
      </c>
      <c r="E362" t="str">
        <f t="shared" si="18"/>
        <v>UPDATE [MAP].[T_TRANS_VENDOR] SET NEW_VENDOR_ID = 'V0367' WHERE LEGACY_VENDOR_ID = 'GRAINGER' AND DATA_FOLDER_ID = 'sampl'</v>
      </c>
      <c r="F362" t="str">
        <f t="shared" si="19"/>
        <v>Changed</v>
      </c>
      <c r="G362" t="str">
        <f t="shared" si="20"/>
        <v>-</v>
      </c>
    </row>
    <row r="363" spans="1:7" x14ac:dyDescent="0.25">
      <c r="A363" s="2" t="s">
        <v>1</v>
      </c>
      <c r="B363" s="9" t="s">
        <v>400</v>
      </c>
      <c r="C363" t="s">
        <v>1402</v>
      </c>
      <c r="D363" s="5" t="s">
        <v>2400</v>
      </c>
      <c r="E363" t="str">
        <f t="shared" si="18"/>
        <v>UPDATE [MAP].[T_TRANS_VENDOR] SET NEW_VENDOR_ID = 'V0368' WHERE LEGACY_VENDOR_ID = 'GRANDREN' AND DATA_FOLDER_ID = 'sampl'</v>
      </c>
      <c r="F363" t="str">
        <f t="shared" si="19"/>
        <v>Changed</v>
      </c>
      <c r="G363" t="str">
        <f t="shared" si="20"/>
        <v>-</v>
      </c>
    </row>
    <row r="364" spans="1:7" x14ac:dyDescent="0.25">
      <c r="A364" s="2" t="s">
        <v>1</v>
      </c>
      <c r="B364" s="9" t="s">
        <v>401</v>
      </c>
      <c r="C364" t="s">
        <v>1403</v>
      </c>
      <c r="D364" s="5" t="s">
        <v>2401</v>
      </c>
      <c r="E364" t="str">
        <f t="shared" si="18"/>
        <v>UPDATE [MAP].[T_TRANS_VENDOR] SET NEW_VENDOR_ID = 'V0369' WHERE LEGACY_VENDOR_ID = 'GREATSCR' AND DATA_FOLDER_ID = 'sampl'</v>
      </c>
      <c r="F364" t="str">
        <f t="shared" si="19"/>
        <v>Changed</v>
      </c>
      <c r="G364" t="str">
        <f t="shared" si="20"/>
        <v>-</v>
      </c>
    </row>
    <row r="365" spans="1:7" x14ac:dyDescent="0.25">
      <c r="A365" s="2" t="s">
        <v>1</v>
      </c>
      <c r="B365" s="9" t="s">
        <v>402</v>
      </c>
      <c r="C365" t="s">
        <v>1404</v>
      </c>
      <c r="D365" s="5" t="s">
        <v>2402</v>
      </c>
      <c r="E365" t="str">
        <f t="shared" si="18"/>
        <v>UPDATE [MAP].[T_TRANS_VENDOR] SET NEW_VENDOR_ID = 'V0370' WHERE LEGACY_VENDOR_ID = 'GREENMAN' AND DATA_FOLDER_ID = 'sampl'</v>
      </c>
      <c r="F365" t="str">
        <f t="shared" si="19"/>
        <v>Changed</v>
      </c>
      <c r="G365" t="str">
        <f t="shared" si="20"/>
        <v>-</v>
      </c>
    </row>
    <row r="366" spans="1:7" x14ac:dyDescent="0.25">
      <c r="A366" s="2" t="s">
        <v>1</v>
      </c>
      <c r="B366" s="9" t="s">
        <v>403</v>
      </c>
      <c r="C366" t="s">
        <v>1405</v>
      </c>
      <c r="D366" s="5" t="s">
        <v>2403</v>
      </c>
      <c r="E366" t="str">
        <f t="shared" si="18"/>
        <v>UPDATE [MAP].[T_TRANS_VENDOR] SET NEW_VENDOR_ID = 'V0371' WHERE LEGACY_VENDOR_ID = 'GREGSTAHL' AND DATA_FOLDER_ID = 'sampl'</v>
      </c>
      <c r="F366" t="str">
        <f t="shared" si="19"/>
        <v>Changed</v>
      </c>
      <c r="G366" t="str">
        <f t="shared" si="20"/>
        <v>-</v>
      </c>
    </row>
    <row r="367" spans="1:7" x14ac:dyDescent="0.25">
      <c r="A367" s="2" t="s">
        <v>1</v>
      </c>
      <c r="B367" s="9" t="s">
        <v>404</v>
      </c>
      <c r="C367" t="s">
        <v>1406</v>
      </c>
      <c r="D367" s="5" t="s">
        <v>2404</v>
      </c>
      <c r="E367" t="str">
        <f t="shared" si="18"/>
        <v>UPDATE [MAP].[T_TRANS_VENDOR] SET NEW_VENDOR_ID = 'V0372' WHERE LEGACY_VENDOR_ID = 'GROUNDPE' AND DATA_FOLDER_ID = 'sampl'</v>
      </c>
      <c r="F367" t="str">
        <f t="shared" si="19"/>
        <v>Changed</v>
      </c>
      <c r="G367" t="str">
        <f t="shared" si="20"/>
        <v>-</v>
      </c>
    </row>
    <row r="368" spans="1:7" x14ac:dyDescent="0.25">
      <c r="A368" s="2" t="s">
        <v>1</v>
      </c>
      <c r="B368" s="9" t="s">
        <v>405</v>
      </c>
      <c r="C368" t="s">
        <v>1407</v>
      </c>
      <c r="D368" s="5" t="s">
        <v>2405</v>
      </c>
      <c r="E368" t="str">
        <f t="shared" si="18"/>
        <v>UPDATE [MAP].[T_TRANS_VENDOR] SET NEW_VENDOR_ID = 'V0373' WHERE LEGACY_VENDOR_ID = 'GUARDIAN' AND DATA_FOLDER_ID = 'sampl'</v>
      </c>
      <c r="F368" t="str">
        <f t="shared" si="19"/>
        <v>Changed</v>
      </c>
      <c r="G368" t="str">
        <f t="shared" si="20"/>
        <v>-</v>
      </c>
    </row>
    <row r="369" spans="1:7" x14ac:dyDescent="0.25">
      <c r="A369" s="2" t="s">
        <v>1</v>
      </c>
      <c r="B369" s="9" t="s">
        <v>406</v>
      </c>
      <c r="C369" t="s">
        <v>1408</v>
      </c>
      <c r="D369" s="5" t="s">
        <v>2406</v>
      </c>
      <c r="E369" t="str">
        <f t="shared" si="18"/>
        <v>UPDATE [MAP].[T_TRANS_VENDOR] SET NEW_VENDOR_ID = 'V0374' WHERE LEGACY_VENDOR_ID = 'GUMANWEL' AND DATA_FOLDER_ID = 'sampl'</v>
      </c>
      <c r="F369" t="str">
        <f t="shared" si="19"/>
        <v>Changed</v>
      </c>
      <c r="G369" t="str">
        <f t="shared" si="20"/>
        <v>-</v>
      </c>
    </row>
    <row r="370" spans="1:7" x14ac:dyDescent="0.25">
      <c r="A370" s="2" t="s">
        <v>1</v>
      </c>
      <c r="B370" s="9" t="s">
        <v>407</v>
      </c>
      <c r="C370" t="s">
        <v>1409</v>
      </c>
      <c r="D370" s="5" t="s">
        <v>2407</v>
      </c>
      <c r="E370" t="str">
        <f t="shared" si="18"/>
        <v>UPDATE [MAP].[T_TRANS_VENDOR] SET NEW_VENDOR_ID = 'V0375' WHERE LEGACY_VENDOR_ID = 'GUNITESP' AND DATA_FOLDER_ID = 'sampl'</v>
      </c>
      <c r="F370" t="str">
        <f t="shared" si="19"/>
        <v>Changed</v>
      </c>
      <c r="G370" t="str">
        <f t="shared" si="20"/>
        <v>-</v>
      </c>
    </row>
    <row r="371" spans="1:7" x14ac:dyDescent="0.25">
      <c r="A371" s="2" t="s">
        <v>1</v>
      </c>
      <c r="B371" s="9" t="s">
        <v>408</v>
      </c>
      <c r="C371" t="s">
        <v>1410</v>
      </c>
      <c r="D371" s="5" t="s">
        <v>2408</v>
      </c>
      <c r="E371" t="str">
        <f t="shared" si="18"/>
        <v>UPDATE [MAP].[T_TRANS_VENDOR] SET NEW_VENDOR_ID = 'V0376' WHERE LEGACY_VENDOR_ID = 'H&amp;NLANDS' AND DATA_FOLDER_ID = 'sampl'</v>
      </c>
      <c r="F371" t="str">
        <f t="shared" si="19"/>
        <v>Changed</v>
      </c>
      <c r="G371" t="str">
        <f t="shared" si="20"/>
        <v>-</v>
      </c>
    </row>
    <row r="372" spans="1:7" x14ac:dyDescent="0.25">
      <c r="A372" s="2" t="s">
        <v>1</v>
      </c>
      <c r="B372" s="9" t="s">
        <v>409</v>
      </c>
      <c r="C372" t="s">
        <v>1411</v>
      </c>
      <c r="D372" s="5" t="s">
        <v>2409</v>
      </c>
      <c r="E372" t="str">
        <f t="shared" si="18"/>
        <v>UPDATE [MAP].[T_TRANS_VENDOR] SET NEW_VENDOR_ID = 'V0377' WHERE LEGACY_VENDOR_ID = 'HABPPT' AND DATA_FOLDER_ID = 'sampl'</v>
      </c>
      <c r="F372" t="str">
        <f t="shared" si="19"/>
        <v>Changed</v>
      </c>
      <c r="G372" t="str">
        <f t="shared" si="20"/>
        <v>-</v>
      </c>
    </row>
    <row r="373" spans="1:7" x14ac:dyDescent="0.25">
      <c r="A373" s="2" t="s">
        <v>1</v>
      </c>
      <c r="B373" s="9" t="s">
        <v>410</v>
      </c>
      <c r="C373" t="s">
        <v>1412</v>
      </c>
      <c r="D373" s="5" t="s">
        <v>2410</v>
      </c>
      <c r="E373" t="str">
        <f t="shared" si="18"/>
        <v>UPDATE [MAP].[T_TRANS_VENDOR] SET NEW_VENDOR_ID = 'V0378' WHERE LEGACY_VENDOR_ID = 'HAFEREQ' AND DATA_FOLDER_ID = 'sampl'</v>
      </c>
      <c r="F373" t="str">
        <f t="shared" si="19"/>
        <v>Changed</v>
      </c>
      <c r="G373" t="str">
        <f t="shared" si="20"/>
        <v>-</v>
      </c>
    </row>
    <row r="374" spans="1:7" x14ac:dyDescent="0.25">
      <c r="A374" s="2" t="s">
        <v>1</v>
      </c>
      <c r="B374" s="9" t="s">
        <v>411</v>
      </c>
      <c r="C374" t="s">
        <v>1413</v>
      </c>
      <c r="D374" s="5" t="s">
        <v>2411</v>
      </c>
      <c r="E374" t="str">
        <f t="shared" si="18"/>
        <v>UPDATE [MAP].[T_TRANS_VENDOR] SET NEW_VENDOR_ID = 'V0379' WHERE LEGACY_VENDOR_ID = 'HAFNER&amp;S' AND DATA_FOLDER_ID = 'sampl'</v>
      </c>
      <c r="F374" t="str">
        <f t="shared" si="19"/>
        <v>Changed</v>
      </c>
      <c r="G374" t="str">
        <f t="shared" si="20"/>
        <v>-</v>
      </c>
    </row>
    <row r="375" spans="1:7" x14ac:dyDescent="0.25">
      <c r="A375" s="2" t="s">
        <v>1</v>
      </c>
      <c r="B375" s="9" t="s">
        <v>412</v>
      </c>
      <c r="C375" t="s">
        <v>1414</v>
      </c>
      <c r="D375" s="5" t="s">
        <v>2412</v>
      </c>
      <c r="E375" t="str">
        <f t="shared" si="18"/>
        <v>UPDATE [MAP].[T_TRANS_VENDOR] SET NEW_VENDOR_ID = 'V0380' WHERE LEGACY_VENDOR_ID = 'HAINKIBB' AND DATA_FOLDER_ID = 'sampl'</v>
      </c>
      <c r="F375" t="str">
        <f t="shared" si="19"/>
        <v>Changed</v>
      </c>
      <c r="G375" t="str">
        <f t="shared" si="20"/>
        <v>-</v>
      </c>
    </row>
    <row r="376" spans="1:7" x14ac:dyDescent="0.25">
      <c r="A376" s="2" t="s">
        <v>1</v>
      </c>
      <c r="B376" s="9" t="s">
        <v>413</v>
      </c>
      <c r="C376" t="s">
        <v>1415</v>
      </c>
      <c r="D376" s="5" t="s">
        <v>2413</v>
      </c>
      <c r="E376" t="str">
        <f t="shared" si="18"/>
        <v>UPDATE [MAP].[T_TRANS_VENDOR] SET NEW_VENDOR_ID = 'V0381' WHERE LEGACY_VENDOR_ID = 'HALETRAIL' AND DATA_FOLDER_ID = 'sampl'</v>
      </c>
      <c r="F376" t="str">
        <f t="shared" si="19"/>
        <v>Changed</v>
      </c>
      <c r="G376" t="str">
        <f t="shared" si="20"/>
        <v>-</v>
      </c>
    </row>
    <row r="377" spans="1:7" x14ac:dyDescent="0.25">
      <c r="A377" s="2" t="s">
        <v>1</v>
      </c>
      <c r="B377" s="9" t="s">
        <v>414</v>
      </c>
      <c r="C377" t="s">
        <v>1416</v>
      </c>
      <c r="D377" s="5" t="s">
        <v>2414</v>
      </c>
      <c r="E377" t="str">
        <f t="shared" si="18"/>
        <v>UPDATE [MAP].[T_TRANS_VENDOR] SET NEW_VENDOR_ID = 'V0382' WHERE LEGACY_VENDOR_ID = 'Hanovertwp' AND DATA_FOLDER_ID = 'sampl'</v>
      </c>
      <c r="F377" t="str">
        <f t="shared" si="19"/>
        <v>Changed</v>
      </c>
      <c r="G377" t="str">
        <f t="shared" si="20"/>
        <v>-</v>
      </c>
    </row>
    <row r="378" spans="1:7" x14ac:dyDescent="0.25">
      <c r="A378" s="2" t="s">
        <v>1</v>
      </c>
      <c r="B378" s="9" t="s">
        <v>415</v>
      </c>
      <c r="C378" t="s">
        <v>1417</v>
      </c>
      <c r="D378" s="5" t="s">
        <v>2415</v>
      </c>
      <c r="E378" t="str">
        <f t="shared" si="18"/>
        <v>UPDATE [MAP].[T_TRANS_VENDOR] SET NEW_VENDOR_ID = 'V0383' WHERE LEGACY_VENDOR_ID = 'HANSONAG' AND DATA_FOLDER_ID = 'sampl'</v>
      </c>
      <c r="F378" t="str">
        <f t="shared" si="19"/>
        <v>Changed</v>
      </c>
      <c r="G378" t="str">
        <f t="shared" si="20"/>
        <v>-</v>
      </c>
    </row>
    <row r="379" spans="1:7" x14ac:dyDescent="0.25">
      <c r="A379" s="2" t="s">
        <v>1</v>
      </c>
      <c r="B379" s="9" t="s">
        <v>416</v>
      </c>
      <c r="C379" t="s">
        <v>1418</v>
      </c>
      <c r="D379" s="5" t="s">
        <v>2416</v>
      </c>
      <c r="E379" t="str">
        <f t="shared" si="18"/>
        <v>UPDATE [MAP].[T_TRANS_VENDOR] SET NEW_VENDOR_ID = 'V0384' WHERE LEGACY_VENDOR_ID = 'HARLAN' AND DATA_FOLDER_ID = 'sampl'</v>
      </c>
      <c r="F379" t="str">
        <f t="shared" si="19"/>
        <v>Changed</v>
      </c>
      <c r="G379" t="str">
        <f t="shared" si="20"/>
        <v>-</v>
      </c>
    </row>
    <row r="380" spans="1:7" x14ac:dyDescent="0.25">
      <c r="A380" s="2" t="s">
        <v>1</v>
      </c>
      <c r="B380" s="9" t="s">
        <v>417</v>
      </c>
      <c r="C380" t="s">
        <v>1419</v>
      </c>
      <c r="D380" s="5" t="s">
        <v>2417</v>
      </c>
      <c r="E380" t="str">
        <f t="shared" si="18"/>
        <v>UPDATE [MAP].[T_TRANS_VENDOR] SET NEW_VENDOR_ID = 'V0385' WHERE LEGACY_VENDOR_ID = 'HARRINGT' AND DATA_FOLDER_ID = 'sampl'</v>
      </c>
      <c r="F380" t="str">
        <f t="shared" si="19"/>
        <v>Changed</v>
      </c>
      <c r="G380" t="str">
        <f t="shared" si="20"/>
        <v>-</v>
      </c>
    </row>
    <row r="381" spans="1:7" x14ac:dyDescent="0.25">
      <c r="A381" s="2" t="s">
        <v>1</v>
      </c>
      <c r="B381" s="9" t="s">
        <v>418</v>
      </c>
      <c r="C381" t="s">
        <v>1420</v>
      </c>
      <c r="D381" s="5" t="s">
        <v>2418</v>
      </c>
      <c r="E381" t="str">
        <f t="shared" si="18"/>
        <v>UPDATE [MAP].[T_TRANS_VENDOR] SET NEW_VENDOR_ID = 'V0386' WHERE LEGACY_VENDOR_ID = 'HARRISRE' AND DATA_FOLDER_ID = 'sampl'</v>
      </c>
      <c r="F381" t="str">
        <f t="shared" si="19"/>
        <v>Changed</v>
      </c>
      <c r="G381" t="str">
        <f t="shared" si="20"/>
        <v>-</v>
      </c>
    </row>
    <row r="382" spans="1:7" x14ac:dyDescent="0.25">
      <c r="A382" s="2" t="s">
        <v>1</v>
      </c>
      <c r="B382" s="9" t="s">
        <v>419</v>
      </c>
      <c r="C382" t="s">
        <v>1421</v>
      </c>
      <c r="D382" s="5" t="s">
        <v>2419</v>
      </c>
      <c r="E382" t="str">
        <f t="shared" si="18"/>
        <v>UPDATE [MAP].[T_TRANS_VENDOR] SET NEW_VENDOR_ID = 'V0387' WHERE LEGACY_VENDOR_ID = 'HAUNWELD' AND DATA_FOLDER_ID = 'sampl'</v>
      </c>
      <c r="F382" t="str">
        <f t="shared" si="19"/>
        <v>Changed</v>
      </c>
      <c r="G382" t="str">
        <f t="shared" si="20"/>
        <v>-</v>
      </c>
    </row>
    <row r="383" spans="1:7" x14ac:dyDescent="0.25">
      <c r="A383" s="2" t="s">
        <v>1</v>
      </c>
      <c r="B383" s="9" t="s">
        <v>420</v>
      </c>
      <c r="C383" t="s">
        <v>1422</v>
      </c>
      <c r="D383" s="5" t="s">
        <v>2420</v>
      </c>
      <c r="E383" t="str">
        <f t="shared" si="18"/>
        <v>UPDATE [MAP].[T_TRANS_VENDOR] SET NEW_VENDOR_ID = 'V0388' WHERE LEGACY_VENDOR_ID = 'HAZQUARR' AND DATA_FOLDER_ID = 'sampl'</v>
      </c>
      <c r="F383" t="str">
        <f t="shared" si="19"/>
        <v>Changed</v>
      </c>
      <c r="G383" t="str">
        <f t="shared" si="20"/>
        <v>-</v>
      </c>
    </row>
    <row r="384" spans="1:7" x14ac:dyDescent="0.25">
      <c r="A384" s="2" t="s">
        <v>1</v>
      </c>
      <c r="B384" s="9" t="s">
        <v>421</v>
      </c>
      <c r="C384" t="s">
        <v>1423</v>
      </c>
      <c r="D384" s="5" t="s">
        <v>2421</v>
      </c>
      <c r="E384" t="str">
        <f t="shared" si="18"/>
        <v>UPDATE [MAP].[T_TRANS_VENDOR] SET NEW_VENDOR_ID = 'V0389' WHERE LEGACY_VENDOR_ID = 'HAZTEKIN' AND DATA_FOLDER_ID = 'sampl'</v>
      </c>
      <c r="F384" t="str">
        <f t="shared" si="19"/>
        <v>Changed</v>
      </c>
      <c r="G384" t="str">
        <f t="shared" si="20"/>
        <v>-</v>
      </c>
    </row>
    <row r="385" spans="1:7" x14ac:dyDescent="0.25">
      <c r="A385" s="2" t="s">
        <v>1</v>
      </c>
      <c r="B385" s="9" t="s">
        <v>422</v>
      </c>
      <c r="C385" t="s">
        <v>1424</v>
      </c>
      <c r="D385" s="5" t="s">
        <v>2422</v>
      </c>
      <c r="E385" t="str">
        <f t="shared" si="18"/>
        <v>UPDATE [MAP].[T_TRANS_VENDOR] SET NEW_VENDOR_ID = 'V0390' WHERE LEGACY_VENDOR_ID = 'HBFRAZER' AND DATA_FOLDER_ID = 'sampl'</v>
      </c>
      <c r="F385" t="str">
        <f t="shared" si="19"/>
        <v>Changed</v>
      </c>
      <c r="G385" t="str">
        <f t="shared" si="20"/>
        <v>-</v>
      </c>
    </row>
    <row r="386" spans="1:7" x14ac:dyDescent="0.25">
      <c r="A386" s="2" t="s">
        <v>1</v>
      </c>
      <c r="B386" s="9" t="s">
        <v>423</v>
      </c>
      <c r="C386" t="s">
        <v>1425</v>
      </c>
      <c r="D386" s="5" t="s">
        <v>2423</v>
      </c>
      <c r="E386" t="str">
        <f t="shared" si="18"/>
        <v>UPDATE [MAP].[T_TRANS_VENDOR] SET NEW_VENDOR_ID = 'V0391' WHERE LEGACY_VENDOR_ID = 'HCHOODCO' AND DATA_FOLDER_ID = 'sampl'</v>
      </c>
      <c r="F386" t="str">
        <f t="shared" si="19"/>
        <v>Changed</v>
      </c>
      <c r="G386" t="str">
        <f t="shared" si="20"/>
        <v>-</v>
      </c>
    </row>
    <row r="387" spans="1:7" x14ac:dyDescent="0.25">
      <c r="A387" s="2" t="s">
        <v>1</v>
      </c>
      <c r="B387" s="9" t="s">
        <v>424</v>
      </c>
      <c r="C387" t="s">
        <v>1426</v>
      </c>
      <c r="D387" s="5" t="s">
        <v>2424</v>
      </c>
      <c r="E387" t="str">
        <f t="shared" si="18"/>
        <v>UPDATE [MAP].[T_TRANS_VENDOR] SET NEW_VENDOR_ID = 'V0392' WHERE LEGACY_VENDOR_ID = 'HCQUALITY' AND DATA_FOLDER_ID = 'sampl'</v>
      </c>
      <c r="F387" t="str">
        <f t="shared" si="19"/>
        <v>Changed</v>
      </c>
      <c r="G387" t="str">
        <f t="shared" si="20"/>
        <v>-</v>
      </c>
    </row>
    <row r="388" spans="1:7" x14ac:dyDescent="0.25">
      <c r="A388" s="2" t="s">
        <v>1</v>
      </c>
      <c r="B388" s="9" t="s">
        <v>425</v>
      </c>
      <c r="C388" t="s">
        <v>1427</v>
      </c>
      <c r="D388" s="5" t="s">
        <v>2425</v>
      </c>
      <c r="E388" t="str">
        <f t="shared" si="18"/>
        <v>UPDATE [MAP].[T_TRANS_VENDOR] SET NEW_VENDOR_ID = 'V0393' WHERE LEGACY_VENDOR_ID = 'HEALTHWE' AND DATA_FOLDER_ID = 'sampl'</v>
      </c>
      <c r="F388" t="str">
        <f t="shared" si="19"/>
        <v>Changed</v>
      </c>
      <c r="G388" t="str">
        <f t="shared" si="20"/>
        <v>-</v>
      </c>
    </row>
    <row r="389" spans="1:7" x14ac:dyDescent="0.25">
      <c r="A389" s="2" t="s">
        <v>1</v>
      </c>
      <c r="B389" s="9" t="s">
        <v>426</v>
      </c>
      <c r="C389" t="s">
        <v>1428</v>
      </c>
      <c r="D389" s="5" t="s">
        <v>2426</v>
      </c>
      <c r="E389" t="str">
        <f t="shared" si="18"/>
        <v>UPDATE [MAP].[T_TRANS_VENDOR] SET NEW_VENDOR_ID = 'V0394' WHERE LEGACY_VENDOR_ID = 'HEAVYHIG' AND DATA_FOLDER_ID = 'sampl'</v>
      </c>
      <c r="F389" t="str">
        <f t="shared" si="19"/>
        <v>Changed</v>
      </c>
      <c r="G389" t="str">
        <f t="shared" si="20"/>
        <v>-</v>
      </c>
    </row>
    <row r="390" spans="1:7" x14ac:dyDescent="0.25">
      <c r="A390" s="2" t="s">
        <v>1</v>
      </c>
      <c r="B390" s="9" t="s">
        <v>427</v>
      </c>
      <c r="C390" t="s">
        <v>1429</v>
      </c>
      <c r="D390" s="5" t="s">
        <v>2427</v>
      </c>
      <c r="E390" t="str">
        <f t="shared" si="18"/>
        <v>UPDATE [MAP].[T_TRANS_VENDOR] SET NEW_VENDOR_ID = 'V0395' WHERE LEGACY_VENDOR_ID = 'HEISTON' AND DATA_FOLDER_ID = 'sampl'</v>
      </c>
      <c r="F390" t="str">
        <f t="shared" si="19"/>
        <v>Changed</v>
      </c>
      <c r="G390" t="str">
        <f t="shared" si="20"/>
        <v>-</v>
      </c>
    </row>
    <row r="391" spans="1:7" x14ac:dyDescent="0.25">
      <c r="A391" s="2" t="s">
        <v>1</v>
      </c>
      <c r="B391" s="9" t="s">
        <v>428</v>
      </c>
      <c r="C391" t="s">
        <v>1430</v>
      </c>
      <c r="D391" s="5" t="s">
        <v>2428</v>
      </c>
      <c r="E391" t="str">
        <f t="shared" si="18"/>
        <v>UPDATE [MAP].[T_TRANS_VENDOR] SET NEW_VENDOR_ID = 'V0396' WHERE LEGACY_VENDOR_ID = 'HEIWINDO' AND DATA_FOLDER_ID = 'sampl'</v>
      </c>
      <c r="F391" t="str">
        <f t="shared" si="19"/>
        <v>Changed</v>
      </c>
      <c r="G391" t="str">
        <f t="shared" si="20"/>
        <v>-</v>
      </c>
    </row>
    <row r="392" spans="1:7" x14ac:dyDescent="0.25">
      <c r="A392" s="2" t="s">
        <v>1</v>
      </c>
      <c r="B392" s="9" t="s">
        <v>429</v>
      </c>
      <c r="C392" t="s">
        <v>1431</v>
      </c>
      <c r="D392" s="5" t="s">
        <v>2429</v>
      </c>
      <c r="E392" t="str">
        <f t="shared" si="18"/>
        <v>UPDATE [MAP].[T_TRANS_VENDOR] SET NEW_VENDOR_ID = 'V0397' WHERE LEGACY_VENDOR_ID = 'HENRYFRA' AND DATA_FOLDER_ID = 'sampl'</v>
      </c>
      <c r="F392" t="str">
        <f t="shared" si="19"/>
        <v>Changed</v>
      </c>
      <c r="G392" t="str">
        <f t="shared" si="20"/>
        <v>-</v>
      </c>
    </row>
    <row r="393" spans="1:7" x14ac:dyDescent="0.25">
      <c r="A393" s="2" t="s">
        <v>1</v>
      </c>
      <c r="B393" s="9" t="s">
        <v>430</v>
      </c>
      <c r="C393" t="s">
        <v>1432</v>
      </c>
      <c r="D393" s="5" t="s">
        <v>2430</v>
      </c>
      <c r="E393" t="str">
        <f t="shared" si="18"/>
        <v>UPDATE [MAP].[T_TRANS_VENDOR] SET NEW_VENDOR_ID = 'V0398' WHERE LEGACY_VENDOR_ID = 'HERCBOLT' AND DATA_FOLDER_ID = 'sampl'</v>
      </c>
      <c r="F393" t="str">
        <f t="shared" si="19"/>
        <v>Changed</v>
      </c>
      <c r="G393" t="str">
        <f t="shared" si="20"/>
        <v>-</v>
      </c>
    </row>
    <row r="394" spans="1:7" x14ac:dyDescent="0.25">
      <c r="A394" s="2" t="s">
        <v>1</v>
      </c>
      <c r="B394" s="9" t="s">
        <v>431</v>
      </c>
      <c r="C394" t="s">
        <v>1433</v>
      </c>
      <c r="D394" s="5" t="s">
        <v>2431</v>
      </c>
      <c r="E394" t="str">
        <f t="shared" si="18"/>
        <v>UPDATE [MAP].[T_TRANS_VENDOR] SET NEW_VENDOR_ID = 'V0399' WHERE LEGACY_VENDOR_ID = 'HERREBRO' AND DATA_FOLDER_ID = 'sampl'</v>
      </c>
      <c r="F394" t="str">
        <f t="shared" si="19"/>
        <v>Changed</v>
      </c>
      <c r="G394" t="str">
        <f t="shared" si="20"/>
        <v>-</v>
      </c>
    </row>
    <row r="395" spans="1:7" x14ac:dyDescent="0.25">
      <c r="A395" s="2" t="s">
        <v>1</v>
      </c>
      <c r="B395" s="9" t="s">
        <v>432</v>
      </c>
      <c r="C395" t="s">
        <v>1434</v>
      </c>
      <c r="D395" s="5" t="s">
        <v>2432</v>
      </c>
      <c r="E395" t="str">
        <f t="shared" si="18"/>
        <v>UPDATE [MAP].[T_TRANS_VENDOR] SET NEW_VENDOR_ID = 'V0400' WHERE LEGACY_VENDOR_ID = 'HERREXCA' AND DATA_FOLDER_ID = 'sampl'</v>
      </c>
      <c r="F395" t="str">
        <f t="shared" si="19"/>
        <v>Changed</v>
      </c>
      <c r="G395" t="str">
        <f t="shared" si="20"/>
        <v>-</v>
      </c>
    </row>
    <row r="396" spans="1:7" x14ac:dyDescent="0.25">
      <c r="A396" s="2" t="s">
        <v>1</v>
      </c>
      <c r="B396" s="9" t="s">
        <v>433</v>
      </c>
      <c r="C396" t="s">
        <v>1435</v>
      </c>
      <c r="D396" s="5" t="s">
        <v>2433</v>
      </c>
      <c r="E396" t="str">
        <f t="shared" si="18"/>
        <v>UPDATE [MAP].[T_TRANS_VENDOR] SET NEW_VENDOR_ID = 'V0401' WHERE LEGACY_VENDOR_ID = 'HERRONLU' AND DATA_FOLDER_ID = 'sampl'</v>
      </c>
      <c r="F396" t="str">
        <f t="shared" si="19"/>
        <v>Changed</v>
      </c>
      <c r="G396" t="str">
        <f t="shared" si="20"/>
        <v>-</v>
      </c>
    </row>
    <row r="397" spans="1:7" x14ac:dyDescent="0.25">
      <c r="A397" s="2" t="s">
        <v>1</v>
      </c>
      <c r="B397" s="9" t="s">
        <v>434</v>
      </c>
      <c r="C397" t="s">
        <v>1436</v>
      </c>
      <c r="D397" s="5" t="s">
        <v>2434</v>
      </c>
      <c r="E397" t="str">
        <f t="shared" si="18"/>
        <v>UPDATE [MAP].[T_TRANS_VENDOR] SET NEW_VENDOR_ID = 'V0402' WHERE LEGACY_VENDOR_ID = 'HERRSIGN' AND DATA_FOLDER_ID = 'sampl'</v>
      </c>
      <c r="F397" t="str">
        <f t="shared" si="19"/>
        <v>Changed</v>
      </c>
      <c r="G397" t="str">
        <f t="shared" si="20"/>
        <v>-</v>
      </c>
    </row>
    <row r="398" spans="1:7" x14ac:dyDescent="0.25">
      <c r="A398" s="2" t="s">
        <v>1</v>
      </c>
      <c r="B398" s="9" t="s">
        <v>435</v>
      </c>
      <c r="C398" t="s">
        <v>1437</v>
      </c>
      <c r="D398" s="5" t="s">
        <v>2435</v>
      </c>
      <c r="E398" t="str">
        <f t="shared" si="18"/>
        <v>UPDATE [MAP].[T_TRANS_VENDOR] SET NEW_VENDOR_ID = 'V0403' WHERE LEGACY_VENDOR_ID = 'HERSHOCK' AND DATA_FOLDER_ID = 'sampl'</v>
      </c>
      <c r="F398" t="str">
        <f t="shared" si="19"/>
        <v>Changed</v>
      </c>
      <c r="G398" t="str">
        <f t="shared" si="20"/>
        <v>-</v>
      </c>
    </row>
    <row r="399" spans="1:7" x14ac:dyDescent="0.25">
      <c r="A399" s="2" t="s">
        <v>1</v>
      </c>
      <c r="B399" s="9" t="s">
        <v>436</v>
      </c>
      <c r="C399" t="s">
        <v>1438</v>
      </c>
      <c r="D399" s="5" t="s">
        <v>2436</v>
      </c>
      <c r="E399" t="str">
        <f t="shared" ref="E399:E462" si="21">"UPDATE "&amp;$E$3&amp;" SET NEW_VENDOR_ID = '"&amp;D399&amp;"' WHERE LEGACY_VENDOR_ID = '"&amp;B399&amp;"' AND DATA_FOLDER_ID = '"&amp;$A399&amp;"'"</f>
        <v>UPDATE [MAP].[T_TRANS_VENDOR] SET NEW_VENDOR_ID = 'V0404' WHERE LEGACY_VENDOR_ID = 'HESSINC' AND DATA_FOLDER_ID = 'sampl'</v>
      </c>
      <c r="F399" t="str">
        <f t="shared" ref="F399:F462" si="22">IF(B399&lt;&gt;D399,"Changed","-")</f>
        <v>Changed</v>
      </c>
      <c r="G399" t="str">
        <f t="shared" ref="G399:G462" si="23">IF(B399="","Hide","-")</f>
        <v>-</v>
      </c>
    </row>
    <row r="400" spans="1:7" x14ac:dyDescent="0.25">
      <c r="A400" s="2" t="s">
        <v>1</v>
      </c>
      <c r="B400" s="9" t="s">
        <v>437</v>
      </c>
      <c r="C400" t="s">
        <v>1439</v>
      </c>
      <c r="D400" s="5" t="s">
        <v>2437</v>
      </c>
      <c r="E400" t="str">
        <f t="shared" si="21"/>
        <v>UPDATE [MAP].[T_TRANS_VENDOR] SET NEW_VENDOR_ID = 'V0405' WHERE LEGACY_VENDOR_ID = 'HIGHMARK' AND DATA_FOLDER_ID = 'sampl'</v>
      </c>
      <c r="F400" t="str">
        <f t="shared" si="22"/>
        <v>Changed</v>
      </c>
      <c r="G400" t="str">
        <f t="shared" si="23"/>
        <v>-</v>
      </c>
    </row>
    <row r="401" spans="1:7" x14ac:dyDescent="0.25">
      <c r="A401" s="2" t="s">
        <v>1</v>
      </c>
      <c r="B401" s="9" t="s">
        <v>438</v>
      </c>
      <c r="C401" t="s">
        <v>1440</v>
      </c>
      <c r="D401" s="5" t="s">
        <v>2438</v>
      </c>
      <c r="E401" t="str">
        <f t="shared" si="21"/>
        <v>UPDATE [MAP].[T_TRANS_VENDOR] SET NEW_VENDOR_ID = 'V0406' WHERE LEGACY_VENDOR_ID = 'HIGHMOUN' AND DATA_FOLDER_ID = 'sampl'</v>
      </c>
      <c r="F401" t="str">
        <f t="shared" si="22"/>
        <v>Changed</v>
      </c>
      <c r="G401" t="str">
        <f t="shared" si="23"/>
        <v>-</v>
      </c>
    </row>
    <row r="402" spans="1:7" x14ac:dyDescent="0.25">
      <c r="A402" s="2" t="s">
        <v>1</v>
      </c>
      <c r="B402" s="9" t="s">
        <v>439</v>
      </c>
      <c r="C402" t="s">
        <v>1441</v>
      </c>
      <c r="D402" s="5" t="s">
        <v>2439</v>
      </c>
      <c r="E402" t="str">
        <f t="shared" si="21"/>
        <v>UPDATE [MAP].[T_TRANS_VENDOR] SET NEW_VENDOR_ID = 'V0407' WHERE LEGACY_VENDOR_ID = 'HIGHTANK' AND DATA_FOLDER_ID = 'sampl'</v>
      </c>
      <c r="F402" t="str">
        <f t="shared" si="22"/>
        <v>Changed</v>
      </c>
      <c r="G402" t="str">
        <f t="shared" si="23"/>
        <v>-</v>
      </c>
    </row>
    <row r="403" spans="1:7" x14ac:dyDescent="0.25">
      <c r="A403" s="2" t="s">
        <v>1</v>
      </c>
      <c r="B403" s="9" t="s">
        <v>440</v>
      </c>
      <c r="C403" t="s">
        <v>1442</v>
      </c>
      <c r="D403" s="5" t="s">
        <v>2440</v>
      </c>
      <c r="E403" t="str">
        <f t="shared" si="21"/>
        <v>UPDATE [MAP].[T_TRANS_VENDOR] SET NEW_VENDOR_ID = 'V0408' WHERE LEGACY_VENDOR_ID = 'HILLTOPQ' AND DATA_FOLDER_ID = 'sampl'</v>
      </c>
      <c r="F403" t="str">
        <f t="shared" si="22"/>
        <v>Changed</v>
      </c>
      <c r="G403" t="str">
        <f t="shared" si="23"/>
        <v>-</v>
      </c>
    </row>
    <row r="404" spans="1:7" x14ac:dyDescent="0.25">
      <c r="A404" s="2" t="s">
        <v>1</v>
      </c>
      <c r="B404" s="9" t="s">
        <v>441</v>
      </c>
      <c r="C404" t="s">
        <v>1443</v>
      </c>
      <c r="D404" s="5" t="s">
        <v>2441</v>
      </c>
      <c r="E404" t="str">
        <f t="shared" si="21"/>
        <v>UPDATE [MAP].[T_TRANS_VENDOR] SET NEW_VENDOR_ID = 'V0409' WHERE LEGACY_VENDOR_ID = 'HILTIINC' AND DATA_FOLDER_ID = 'sampl'</v>
      </c>
      <c r="F404" t="str">
        <f t="shared" si="22"/>
        <v>Changed</v>
      </c>
      <c r="G404" t="str">
        <f t="shared" si="23"/>
        <v>-</v>
      </c>
    </row>
    <row r="405" spans="1:7" x14ac:dyDescent="0.25">
      <c r="A405" s="2" t="s">
        <v>1</v>
      </c>
      <c r="B405" s="9" t="s">
        <v>442</v>
      </c>
      <c r="C405" t="s">
        <v>1444</v>
      </c>
      <c r="D405" s="5" t="s">
        <v>2442</v>
      </c>
      <c r="E405" t="str">
        <f t="shared" si="21"/>
        <v>UPDATE [MAP].[T_TRANS_VENDOR] SET NEW_VENDOR_ID = 'V0410' WHERE LEGACY_VENDOR_ID = 'HITECH' AND DATA_FOLDER_ID = 'sampl'</v>
      </c>
      <c r="F405" t="str">
        <f t="shared" si="22"/>
        <v>Changed</v>
      </c>
      <c r="G405" t="str">
        <f t="shared" si="23"/>
        <v>-</v>
      </c>
    </row>
    <row r="406" spans="1:7" x14ac:dyDescent="0.25">
      <c r="A406" s="2" t="s">
        <v>1</v>
      </c>
      <c r="B406" s="9" t="s">
        <v>443</v>
      </c>
      <c r="C406" t="s">
        <v>1445</v>
      </c>
      <c r="D406" s="5" t="s">
        <v>2443</v>
      </c>
      <c r="E406" t="str">
        <f t="shared" si="21"/>
        <v>UPDATE [MAP].[T_TRANS_VENDOR] SET NEW_VENDOR_ID = 'V0411' WHERE LEGACY_VENDOR_ID = 'HOLTLUMB' AND DATA_FOLDER_ID = 'sampl'</v>
      </c>
      <c r="F406" t="str">
        <f t="shared" si="22"/>
        <v>Changed</v>
      </c>
      <c r="G406" t="str">
        <f t="shared" si="23"/>
        <v>-</v>
      </c>
    </row>
    <row r="407" spans="1:7" x14ac:dyDescent="0.25">
      <c r="A407" s="2" t="s">
        <v>1</v>
      </c>
      <c r="B407" s="9" t="s">
        <v>444</v>
      </c>
      <c r="C407" t="s">
        <v>1446</v>
      </c>
      <c r="D407" s="5" t="s">
        <v>2444</v>
      </c>
      <c r="E407" t="str">
        <f t="shared" si="21"/>
        <v>UPDATE [MAP].[T_TRANS_VENDOR] SET NEW_VENDOR_ID = 'V0412' WHERE LEGACY_VENDOR_ID = 'HOMESTEA' AND DATA_FOLDER_ID = 'sampl'</v>
      </c>
      <c r="F407" t="str">
        <f t="shared" si="22"/>
        <v>Changed</v>
      </c>
      <c r="G407" t="str">
        <f t="shared" si="23"/>
        <v>-</v>
      </c>
    </row>
    <row r="408" spans="1:7" x14ac:dyDescent="0.25">
      <c r="A408" s="2" t="s">
        <v>1</v>
      </c>
      <c r="B408" s="9" t="s">
        <v>445</v>
      </c>
      <c r="C408" t="s">
        <v>1447</v>
      </c>
      <c r="D408" s="5" t="s">
        <v>2445</v>
      </c>
      <c r="E408" t="str">
        <f t="shared" si="21"/>
        <v>UPDATE [MAP].[T_TRANS_VENDOR] SET NEW_VENDOR_ID = 'V0413' WHERE LEGACY_VENDOR_ID = 'HOPSONSP' AND DATA_FOLDER_ID = 'sampl'</v>
      </c>
      <c r="F408" t="str">
        <f t="shared" si="22"/>
        <v>Changed</v>
      </c>
      <c r="G408" t="str">
        <f t="shared" si="23"/>
        <v>-</v>
      </c>
    </row>
    <row r="409" spans="1:7" x14ac:dyDescent="0.25">
      <c r="A409" s="2" t="s">
        <v>1</v>
      </c>
      <c r="B409" s="9" t="s">
        <v>446</v>
      </c>
      <c r="C409" t="s">
        <v>1448</v>
      </c>
      <c r="D409" s="5" t="s">
        <v>2446</v>
      </c>
      <c r="E409" t="str">
        <f t="shared" si="21"/>
        <v>UPDATE [MAP].[T_TRANS_VENDOR] SET NEW_VENDOR_ID = 'V0414' WHERE LEGACY_VENDOR_ID = 'HOSTETTE' AND DATA_FOLDER_ID = 'sampl'</v>
      </c>
      <c r="F409" t="str">
        <f t="shared" si="22"/>
        <v>Changed</v>
      </c>
      <c r="G409" t="str">
        <f t="shared" si="23"/>
        <v>-</v>
      </c>
    </row>
    <row r="410" spans="1:7" x14ac:dyDescent="0.25">
      <c r="A410" s="2" t="s">
        <v>1</v>
      </c>
      <c r="B410" s="9" t="s">
        <v>447</v>
      </c>
      <c r="C410" t="s">
        <v>1449</v>
      </c>
      <c r="D410" s="5" t="s">
        <v>2447</v>
      </c>
      <c r="E410" t="str">
        <f t="shared" si="21"/>
        <v>UPDATE [MAP].[T_TRANS_VENDOR] SET NEW_VENDOR_ID = 'V0415' WHERE LEGACY_VENDOR_ID = 'Houck' AND DATA_FOLDER_ID = 'sampl'</v>
      </c>
      <c r="F410" t="str">
        <f t="shared" si="22"/>
        <v>Changed</v>
      </c>
      <c r="G410" t="str">
        <f t="shared" si="23"/>
        <v>-</v>
      </c>
    </row>
    <row r="411" spans="1:7" x14ac:dyDescent="0.25">
      <c r="A411" s="2" t="s">
        <v>1</v>
      </c>
      <c r="B411" s="9" t="s">
        <v>448</v>
      </c>
      <c r="C411" t="s">
        <v>1450</v>
      </c>
      <c r="D411" s="5" t="s">
        <v>2448</v>
      </c>
      <c r="E411" t="str">
        <f t="shared" si="21"/>
        <v>UPDATE [MAP].[T_TRANS_VENDOR] SET NEW_VENDOR_ID = 'V0416' WHERE LEGACY_VENDOR_ID = 'HRRG' AND DATA_FOLDER_ID = 'sampl'</v>
      </c>
      <c r="F411" t="str">
        <f t="shared" si="22"/>
        <v>Changed</v>
      </c>
      <c r="G411" t="str">
        <f t="shared" si="23"/>
        <v>-</v>
      </c>
    </row>
    <row r="412" spans="1:7" x14ac:dyDescent="0.25">
      <c r="A412" s="2" t="s">
        <v>1</v>
      </c>
      <c r="B412" s="9" t="s">
        <v>449</v>
      </c>
      <c r="C412" t="s">
        <v>1451</v>
      </c>
      <c r="D412" s="5" t="s">
        <v>2449</v>
      </c>
      <c r="E412" t="str">
        <f t="shared" si="21"/>
        <v>UPDATE [MAP].[T_TRANS_VENDOR] SET NEW_VENDOR_ID = 'V0417' WHERE LEGACY_VENDOR_ID = 'HUDAKWAT' AND DATA_FOLDER_ID = 'sampl'</v>
      </c>
      <c r="F412" t="str">
        <f t="shared" si="22"/>
        <v>Changed</v>
      </c>
      <c r="G412" t="str">
        <f t="shared" si="23"/>
        <v>-</v>
      </c>
    </row>
    <row r="413" spans="1:7" x14ac:dyDescent="0.25">
      <c r="A413" s="2" t="s">
        <v>1</v>
      </c>
      <c r="B413" s="9" t="s">
        <v>450</v>
      </c>
      <c r="C413" t="s">
        <v>1452</v>
      </c>
      <c r="D413" s="5" t="s">
        <v>2450</v>
      </c>
      <c r="E413" t="str">
        <f t="shared" si="21"/>
        <v>UPDATE [MAP].[T_TRANS_VENDOR] SET NEW_VENDOR_ID = 'V0418' WHERE LEGACY_VENDOR_ID = 'HUGHESNE' AND DATA_FOLDER_ID = 'sampl'</v>
      </c>
      <c r="F413" t="str">
        <f t="shared" si="22"/>
        <v>Changed</v>
      </c>
      <c r="G413" t="str">
        <f t="shared" si="23"/>
        <v>-</v>
      </c>
    </row>
    <row r="414" spans="1:7" x14ac:dyDescent="0.25">
      <c r="A414" s="2" t="s">
        <v>1</v>
      </c>
      <c r="B414" s="9" t="s">
        <v>451</v>
      </c>
      <c r="C414" t="s">
        <v>1453</v>
      </c>
      <c r="D414" s="5" t="s">
        <v>2451</v>
      </c>
      <c r="E414" t="str">
        <f t="shared" si="21"/>
        <v>UPDATE [MAP].[T_TRANS_VENDOR] SET NEW_VENDOR_ID = 'V0419' WHERE LEGACY_VENDOR_ID = 'HUNLGROU' AND DATA_FOLDER_ID = 'sampl'</v>
      </c>
      <c r="F414" t="str">
        <f t="shared" si="22"/>
        <v>Changed</v>
      </c>
      <c r="G414" t="str">
        <f t="shared" si="23"/>
        <v>-</v>
      </c>
    </row>
    <row r="415" spans="1:7" x14ac:dyDescent="0.25">
      <c r="A415" s="2" t="s">
        <v>1</v>
      </c>
      <c r="B415" s="9" t="s">
        <v>452</v>
      </c>
      <c r="C415" t="s">
        <v>1454</v>
      </c>
      <c r="D415" s="5" t="s">
        <v>2452</v>
      </c>
      <c r="E415" t="str">
        <f t="shared" si="21"/>
        <v>UPDATE [MAP].[T_TRANS_VENDOR] SET NEW_VENDOR_ID = 'V0420' WHERE LEGACY_VENDOR_ID = 'HUNTENGI' AND DATA_FOLDER_ID = 'sampl'</v>
      </c>
      <c r="F415" t="str">
        <f t="shared" si="22"/>
        <v>Changed</v>
      </c>
      <c r="G415" t="str">
        <f t="shared" si="23"/>
        <v>-</v>
      </c>
    </row>
    <row r="416" spans="1:7" x14ac:dyDescent="0.25">
      <c r="A416" s="2" t="s">
        <v>1</v>
      </c>
      <c r="B416" s="9" t="s">
        <v>453</v>
      </c>
      <c r="C416" t="s">
        <v>1455</v>
      </c>
      <c r="D416" s="5" t="s">
        <v>2453</v>
      </c>
      <c r="E416" t="str">
        <f t="shared" si="21"/>
        <v>UPDATE [MAP].[T_TRANS_VENDOR] SET NEW_VENDOR_ID = 'V0421' WHERE LEGACY_VENDOR_ID = 'ICONINC' AND DATA_FOLDER_ID = 'sampl'</v>
      </c>
      <c r="F416" t="str">
        <f t="shared" si="22"/>
        <v>Changed</v>
      </c>
      <c r="G416" t="str">
        <f t="shared" si="23"/>
        <v>-</v>
      </c>
    </row>
    <row r="417" spans="1:7" x14ac:dyDescent="0.25">
      <c r="A417" s="2" t="s">
        <v>1</v>
      </c>
      <c r="B417" s="9" t="s">
        <v>454</v>
      </c>
      <c r="C417" t="s">
        <v>1456</v>
      </c>
      <c r="D417" s="5" t="s">
        <v>2454</v>
      </c>
      <c r="E417" t="str">
        <f t="shared" si="21"/>
        <v>UPDATE [MAP].[T_TRANS_VENDOR] SET NEW_VENDOR_ID = 'V0422' WHERE LEGACY_VENDOR_ID = 'IDEALSHI' AND DATA_FOLDER_ID = 'sampl'</v>
      </c>
      <c r="F417" t="str">
        <f t="shared" si="22"/>
        <v>Changed</v>
      </c>
      <c r="G417" t="str">
        <f t="shared" si="23"/>
        <v>-</v>
      </c>
    </row>
    <row r="418" spans="1:7" x14ac:dyDescent="0.25">
      <c r="A418" s="2" t="s">
        <v>1</v>
      </c>
      <c r="B418" s="9" t="s">
        <v>455</v>
      </c>
      <c r="C418" t="s">
        <v>1457</v>
      </c>
      <c r="D418" s="5" t="s">
        <v>2455</v>
      </c>
      <c r="E418" t="str">
        <f t="shared" si="21"/>
        <v>UPDATE [MAP].[T_TRANS_VENDOR] SET NEW_VENDOR_ID = 'V0423' WHERE LEGACY_VENDOR_ID = 'IMPERIAL' AND DATA_FOLDER_ID = 'sampl'</v>
      </c>
      <c r="F418" t="str">
        <f t="shared" si="22"/>
        <v>Changed</v>
      </c>
      <c r="G418" t="str">
        <f t="shared" si="23"/>
        <v>-</v>
      </c>
    </row>
    <row r="419" spans="1:7" x14ac:dyDescent="0.25">
      <c r="A419" s="2" t="s">
        <v>1</v>
      </c>
      <c r="B419" s="9" t="s">
        <v>456</v>
      </c>
      <c r="C419" t="s">
        <v>1458</v>
      </c>
      <c r="D419" s="5" t="s">
        <v>2456</v>
      </c>
      <c r="E419" t="str">
        <f t="shared" si="21"/>
        <v>UPDATE [MAP].[T_TRANS_VENDOR] SET NEW_VENDOR_ID = 'V0424' WHERE LEGACY_VENDOR_ID = 'INDEPENI' AND DATA_FOLDER_ID = 'sampl'</v>
      </c>
      <c r="F419" t="str">
        <f t="shared" si="22"/>
        <v>Changed</v>
      </c>
      <c r="G419" t="str">
        <f t="shared" si="23"/>
        <v>-</v>
      </c>
    </row>
    <row r="420" spans="1:7" x14ac:dyDescent="0.25">
      <c r="A420" s="2" t="s">
        <v>1</v>
      </c>
      <c r="B420" s="9" t="s">
        <v>457</v>
      </c>
      <c r="C420" t="s">
        <v>1459</v>
      </c>
      <c r="D420" s="5" t="s">
        <v>2457</v>
      </c>
      <c r="E420" t="str">
        <f t="shared" si="21"/>
        <v>UPDATE [MAP].[T_TRANS_VENDOR] SET NEW_VENDOR_ID = 'V0425' WHERE LEGACY_VENDOR_ID = 'INNECITY' AND DATA_FOLDER_ID = 'sampl'</v>
      </c>
      <c r="F420" t="str">
        <f t="shared" si="22"/>
        <v>Changed</v>
      </c>
      <c r="G420" t="str">
        <f t="shared" si="23"/>
        <v>-</v>
      </c>
    </row>
    <row r="421" spans="1:7" x14ac:dyDescent="0.25">
      <c r="A421" s="2" t="s">
        <v>1</v>
      </c>
      <c r="B421" s="9" t="s">
        <v>458</v>
      </c>
      <c r="C421" t="s">
        <v>1460</v>
      </c>
      <c r="D421" s="5" t="s">
        <v>2458</v>
      </c>
      <c r="E421" t="str">
        <f t="shared" si="21"/>
        <v>UPDATE [MAP].[T_TRANS_VENDOR] SET NEW_VENDOR_ID = 'V0426' WHERE LEGACY_VENDOR_ID = 'INPRO000' AND DATA_FOLDER_ID = 'sampl'</v>
      </c>
      <c r="F421" t="str">
        <f t="shared" si="22"/>
        <v>Changed</v>
      </c>
      <c r="G421" t="str">
        <f t="shared" si="23"/>
        <v>-</v>
      </c>
    </row>
    <row r="422" spans="1:7" x14ac:dyDescent="0.25">
      <c r="A422" s="2" t="s">
        <v>1</v>
      </c>
      <c r="B422" s="9" t="s">
        <v>459</v>
      </c>
      <c r="C422" t="s">
        <v>1461</v>
      </c>
      <c r="D422" s="5" t="s">
        <v>2459</v>
      </c>
      <c r="E422" t="str">
        <f t="shared" si="21"/>
        <v>UPDATE [MAP].[T_TRANS_VENDOR] SET NEW_VENDOR_ID = 'V0427' WHERE LEGACY_VENDOR_ID = 'INTEGRAL' AND DATA_FOLDER_ID = 'sampl'</v>
      </c>
      <c r="F422" t="str">
        <f t="shared" si="22"/>
        <v>Changed</v>
      </c>
      <c r="G422" t="str">
        <f t="shared" si="23"/>
        <v>-</v>
      </c>
    </row>
    <row r="423" spans="1:7" x14ac:dyDescent="0.25">
      <c r="A423" s="2" t="s">
        <v>1</v>
      </c>
      <c r="B423" s="9" t="s">
        <v>460</v>
      </c>
      <c r="C423" t="s">
        <v>1462</v>
      </c>
      <c r="D423" s="5" t="s">
        <v>2460</v>
      </c>
      <c r="E423" t="str">
        <f t="shared" si="21"/>
        <v>UPDATE [MAP].[T_TRANS_VENDOR] SET NEW_VENDOR_ID = 'V0428' WHERE LEGACY_VENDOR_ID = 'INTERROA' AND DATA_FOLDER_ID = 'sampl'</v>
      </c>
      <c r="F423" t="str">
        <f t="shared" si="22"/>
        <v>Changed</v>
      </c>
      <c r="G423" t="str">
        <f t="shared" si="23"/>
        <v>-</v>
      </c>
    </row>
    <row r="424" spans="1:7" x14ac:dyDescent="0.25">
      <c r="A424" s="2" t="s">
        <v>1</v>
      </c>
      <c r="B424" s="9" t="s">
        <v>461</v>
      </c>
      <c r="C424" t="s">
        <v>1463</v>
      </c>
      <c r="D424" s="5" t="s">
        <v>2461</v>
      </c>
      <c r="E424" t="str">
        <f t="shared" si="21"/>
        <v>UPDATE [MAP].[T_TRANS_VENDOR] SET NEW_VENDOR_ID = 'V0429' WHERE LEGACY_VENDOR_ID = 'INTESAFE' AND DATA_FOLDER_ID = 'sampl'</v>
      </c>
      <c r="F424" t="str">
        <f t="shared" si="22"/>
        <v>Changed</v>
      </c>
      <c r="G424" t="str">
        <f t="shared" si="23"/>
        <v>-</v>
      </c>
    </row>
    <row r="425" spans="1:7" x14ac:dyDescent="0.25">
      <c r="A425" s="2" t="s">
        <v>1</v>
      </c>
      <c r="B425" s="9" t="s">
        <v>462</v>
      </c>
      <c r="C425" t="s">
        <v>1464</v>
      </c>
      <c r="D425" s="5" t="s">
        <v>2462</v>
      </c>
      <c r="E425" t="str">
        <f t="shared" si="21"/>
        <v>UPDATE [MAP].[T_TRANS_VENDOR] SET NEW_VENDOR_ID = 'V0430' WHERE LEGACY_VENDOR_ID = 'ISNSOFTW' AND DATA_FOLDER_ID = 'sampl'</v>
      </c>
      <c r="F425" t="str">
        <f t="shared" si="22"/>
        <v>Changed</v>
      </c>
      <c r="G425" t="str">
        <f t="shared" si="23"/>
        <v>-</v>
      </c>
    </row>
    <row r="426" spans="1:7" x14ac:dyDescent="0.25">
      <c r="A426" s="2" t="s">
        <v>1</v>
      </c>
      <c r="B426" s="9" t="s">
        <v>463</v>
      </c>
      <c r="C426" t="s">
        <v>1465</v>
      </c>
      <c r="D426" s="5" t="s">
        <v>2463</v>
      </c>
      <c r="E426" t="str">
        <f t="shared" si="21"/>
        <v>UPDATE [MAP].[T_TRANS_VENDOR] SET NEW_VENDOR_ID = 'V0431' WHERE LEGACY_VENDOR_ID = 'J&amp;ESHEET' AND DATA_FOLDER_ID = 'sampl'</v>
      </c>
      <c r="F426" t="str">
        <f t="shared" si="22"/>
        <v>Changed</v>
      </c>
      <c r="G426" t="str">
        <f t="shared" si="23"/>
        <v>-</v>
      </c>
    </row>
    <row r="427" spans="1:7" x14ac:dyDescent="0.25">
      <c r="A427" s="2" t="s">
        <v>1</v>
      </c>
      <c r="B427" s="9" t="s">
        <v>464</v>
      </c>
      <c r="C427" t="s">
        <v>1466</v>
      </c>
      <c r="D427" s="5" t="s">
        <v>2464</v>
      </c>
      <c r="E427" t="str">
        <f t="shared" si="21"/>
        <v>UPDATE [MAP].[T_TRANS_VENDOR] SET NEW_VENDOR_ID = 'V0432' WHERE LEGACY_VENDOR_ID = 'J&amp;RTRANS' AND DATA_FOLDER_ID = 'sampl'</v>
      </c>
      <c r="F427" t="str">
        <f t="shared" si="22"/>
        <v>Changed</v>
      </c>
      <c r="G427" t="str">
        <f t="shared" si="23"/>
        <v>-</v>
      </c>
    </row>
    <row r="428" spans="1:7" x14ac:dyDescent="0.25">
      <c r="A428" s="2" t="s">
        <v>1</v>
      </c>
      <c r="B428" s="9" t="s">
        <v>465</v>
      </c>
      <c r="C428" t="s">
        <v>1467</v>
      </c>
      <c r="D428" s="5" t="s">
        <v>2465</v>
      </c>
      <c r="E428" t="str">
        <f t="shared" si="21"/>
        <v>UPDATE [MAP].[T_TRANS_VENDOR] SET NEW_VENDOR_ID = 'V0433' WHERE LEGACY_VENDOR_ID = 'J&amp;ZPROFE' AND DATA_FOLDER_ID = 'sampl'</v>
      </c>
      <c r="F428" t="str">
        <f t="shared" si="22"/>
        <v>Changed</v>
      </c>
      <c r="G428" t="str">
        <f t="shared" si="23"/>
        <v>-</v>
      </c>
    </row>
    <row r="429" spans="1:7" x14ac:dyDescent="0.25">
      <c r="A429" s="2" t="s">
        <v>1</v>
      </c>
      <c r="B429" s="9" t="s">
        <v>466</v>
      </c>
      <c r="C429" t="s">
        <v>1468</v>
      </c>
      <c r="D429" s="5" t="s">
        <v>2466</v>
      </c>
      <c r="E429" t="str">
        <f t="shared" si="21"/>
        <v>UPDATE [MAP].[T_TRANS_VENDOR] SET NEW_VENDOR_ID = 'V0434' WHERE LEGACY_VENDOR_ID = 'JAEELITE' AND DATA_FOLDER_ID = 'sampl'</v>
      </c>
      <c r="F429" t="str">
        <f t="shared" si="22"/>
        <v>Changed</v>
      </c>
      <c r="G429" t="str">
        <f t="shared" si="23"/>
        <v>-</v>
      </c>
    </row>
    <row r="430" spans="1:7" x14ac:dyDescent="0.25">
      <c r="A430" s="2" t="s">
        <v>1</v>
      </c>
      <c r="B430" s="9" t="s">
        <v>467</v>
      </c>
      <c r="C430" t="s">
        <v>1469</v>
      </c>
      <c r="D430" s="5" t="s">
        <v>2467</v>
      </c>
      <c r="E430" t="str">
        <f t="shared" si="21"/>
        <v>UPDATE [MAP].[T_TRANS_VENDOR] SET NEW_VENDOR_ID = 'V0435' WHERE LEGACY_VENDOR_ID = 'JAWORSKI' AND DATA_FOLDER_ID = 'sampl'</v>
      </c>
      <c r="F430" t="str">
        <f t="shared" si="22"/>
        <v>Changed</v>
      </c>
      <c r="G430" t="str">
        <f t="shared" si="23"/>
        <v>-</v>
      </c>
    </row>
    <row r="431" spans="1:7" x14ac:dyDescent="0.25">
      <c r="A431" s="2" t="s">
        <v>1</v>
      </c>
      <c r="B431" s="9" t="s">
        <v>468</v>
      </c>
      <c r="C431" t="s">
        <v>1470</v>
      </c>
      <c r="D431" s="5" t="s">
        <v>2468</v>
      </c>
      <c r="E431" t="str">
        <f t="shared" si="21"/>
        <v>UPDATE [MAP].[T_TRANS_VENDOR] SET NEW_VENDOR_ID = 'V0436' WHERE LEGACY_VENDOR_ID = 'JCHMETAL' AND DATA_FOLDER_ID = 'sampl'</v>
      </c>
      <c r="F431" t="str">
        <f t="shared" si="22"/>
        <v>Changed</v>
      </c>
      <c r="G431" t="str">
        <f t="shared" si="23"/>
        <v>-</v>
      </c>
    </row>
    <row r="432" spans="1:7" x14ac:dyDescent="0.25">
      <c r="A432" s="2" t="s">
        <v>1</v>
      </c>
      <c r="B432" s="9" t="s">
        <v>469</v>
      </c>
      <c r="C432" t="s">
        <v>1471</v>
      </c>
      <c r="D432" s="5" t="s">
        <v>2469</v>
      </c>
      <c r="E432" t="str">
        <f t="shared" si="21"/>
        <v>UPDATE [MAP].[T_TRANS_VENDOR] SET NEW_VENDOR_ID = 'V0437' WHERE LEGACY_VENDOR_ID = 'JDAVIDAL' AND DATA_FOLDER_ID = 'sampl'</v>
      </c>
      <c r="F432" t="str">
        <f t="shared" si="22"/>
        <v>Changed</v>
      </c>
      <c r="G432" t="str">
        <f t="shared" si="23"/>
        <v>-</v>
      </c>
    </row>
    <row r="433" spans="1:7" x14ac:dyDescent="0.25">
      <c r="A433" s="2" t="s">
        <v>1</v>
      </c>
      <c r="B433" s="9" t="s">
        <v>470</v>
      </c>
      <c r="C433" t="s">
        <v>1472</v>
      </c>
      <c r="D433" s="5" t="s">
        <v>2470</v>
      </c>
      <c r="E433" t="str">
        <f t="shared" si="21"/>
        <v>UPDATE [MAP].[T_TRANS_VENDOR] SET NEW_VENDOR_ID = 'V0438' WHERE LEGACY_VENDOR_ID = 'JDYLANCO' AND DATA_FOLDER_ID = 'sampl'</v>
      </c>
      <c r="F433" t="str">
        <f t="shared" si="22"/>
        <v>Changed</v>
      </c>
      <c r="G433" t="str">
        <f t="shared" si="23"/>
        <v>-</v>
      </c>
    </row>
    <row r="434" spans="1:7" x14ac:dyDescent="0.25">
      <c r="A434" s="2" t="s">
        <v>1</v>
      </c>
      <c r="B434" s="9" t="s">
        <v>471</v>
      </c>
      <c r="C434" t="s">
        <v>1473</v>
      </c>
      <c r="D434" s="5" t="s">
        <v>2471</v>
      </c>
      <c r="E434" t="str">
        <f t="shared" si="21"/>
        <v>UPDATE [MAP].[T_TRANS_VENDOR] SET NEW_VENDOR_ID = 'V0439' WHERE LEGACY_VENDOR_ID = 'JERONIMO' AND DATA_FOLDER_ID = 'sampl'</v>
      </c>
      <c r="F434" t="str">
        <f t="shared" si="22"/>
        <v>Changed</v>
      </c>
      <c r="G434" t="str">
        <f t="shared" si="23"/>
        <v>-</v>
      </c>
    </row>
    <row r="435" spans="1:7" x14ac:dyDescent="0.25">
      <c r="A435" s="2" t="s">
        <v>1</v>
      </c>
      <c r="B435" s="9" t="s">
        <v>472</v>
      </c>
      <c r="C435" t="s">
        <v>1474</v>
      </c>
      <c r="D435" s="5" t="s">
        <v>2472</v>
      </c>
      <c r="E435" t="str">
        <f t="shared" si="21"/>
        <v>UPDATE [MAP].[T_TRANS_VENDOR] SET NEW_VENDOR_ID = 'V0440' WHERE LEGACY_VENDOR_ID = 'JERRYCOY' AND DATA_FOLDER_ID = 'sampl'</v>
      </c>
      <c r="F435" t="str">
        <f t="shared" si="22"/>
        <v>Changed</v>
      </c>
      <c r="G435" t="str">
        <f t="shared" si="23"/>
        <v>-</v>
      </c>
    </row>
    <row r="436" spans="1:7" x14ac:dyDescent="0.25">
      <c r="A436" s="2" t="s">
        <v>1</v>
      </c>
      <c r="B436" s="9" t="s">
        <v>473</v>
      </c>
      <c r="C436" t="s">
        <v>1475</v>
      </c>
      <c r="D436" s="5" t="s">
        <v>2473</v>
      </c>
      <c r="E436" t="str">
        <f t="shared" si="21"/>
        <v>UPDATE [MAP].[T_TRANS_VENDOR] SET NEW_VENDOR_ID = 'V0441' WHERE LEGACY_VENDOR_ID = 'JESSEGSN' AND DATA_FOLDER_ID = 'sampl'</v>
      </c>
      <c r="F436" t="str">
        <f t="shared" si="22"/>
        <v>Changed</v>
      </c>
      <c r="G436" t="str">
        <f t="shared" si="23"/>
        <v>-</v>
      </c>
    </row>
    <row r="437" spans="1:7" x14ac:dyDescent="0.25">
      <c r="A437" s="2" t="s">
        <v>1</v>
      </c>
      <c r="B437" s="9" t="s">
        <v>474</v>
      </c>
      <c r="C437" t="s">
        <v>1476</v>
      </c>
      <c r="D437" s="5" t="s">
        <v>2474</v>
      </c>
      <c r="E437" t="str">
        <f t="shared" si="21"/>
        <v>UPDATE [MAP].[T_TRANS_VENDOR] SET NEW_VENDOR_ID = 'V0442' WHERE LEGACY_VENDOR_ID = 'JOHN RING' AND DATA_FOLDER_ID = 'sampl'</v>
      </c>
      <c r="F437" t="str">
        <f t="shared" si="22"/>
        <v>Changed</v>
      </c>
      <c r="G437" t="str">
        <f t="shared" si="23"/>
        <v>-</v>
      </c>
    </row>
    <row r="438" spans="1:7" x14ac:dyDescent="0.25">
      <c r="A438" s="2" t="s">
        <v>1</v>
      </c>
      <c r="B438" s="9" t="s">
        <v>475</v>
      </c>
      <c r="C438" t="s">
        <v>1477</v>
      </c>
      <c r="D438" s="5" t="s">
        <v>2475</v>
      </c>
      <c r="E438" t="str">
        <f t="shared" si="21"/>
        <v>UPDATE [MAP].[T_TRANS_VENDOR] SET NEW_VENDOR_ID = 'V0443' WHERE LEGACY_VENDOR_ID = 'JOHNCOLL' AND DATA_FOLDER_ID = 'sampl'</v>
      </c>
      <c r="F438" t="str">
        <f t="shared" si="22"/>
        <v>Changed</v>
      </c>
      <c r="G438" t="str">
        <f t="shared" si="23"/>
        <v>-</v>
      </c>
    </row>
    <row r="439" spans="1:7" x14ac:dyDescent="0.25">
      <c r="A439" s="2" t="s">
        <v>1</v>
      </c>
      <c r="B439" s="9" t="s">
        <v>476</v>
      </c>
      <c r="C439" t="s">
        <v>1478</v>
      </c>
      <c r="D439" s="5" t="s">
        <v>2476</v>
      </c>
      <c r="E439" t="str">
        <f t="shared" si="21"/>
        <v>UPDATE [MAP].[T_TRANS_VENDOR] SET NEW_VENDOR_ID = 'V0444' WHERE LEGACY_VENDOR_ID = 'JOHNCONT' AND DATA_FOLDER_ID = 'sampl'</v>
      </c>
      <c r="F439" t="str">
        <f t="shared" si="22"/>
        <v>Changed</v>
      </c>
      <c r="G439" t="str">
        <f t="shared" si="23"/>
        <v>-</v>
      </c>
    </row>
    <row r="440" spans="1:7" x14ac:dyDescent="0.25">
      <c r="A440" s="2" t="s">
        <v>1</v>
      </c>
      <c r="B440" s="9" t="s">
        <v>477</v>
      </c>
      <c r="C440" t="s">
        <v>1479</v>
      </c>
      <c r="D440" s="5" t="s">
        <v>2477</v>
      </c>
      <c r="E440" t="str">
        <f t="shared" si="21"/>
        <v>UPDATE [MAP].[T_TRANS_VENDOR] SET NEW_VENDOR_ID = 'V0445' WHERE LEGACY_VENDOR_ID = 'JONES&amp;SO' AND DATA_FOLDER_ID = 'sampl'</v>
      </c>
      <c r="F440" t="str">
        <f t="shared" si="22"/>
        <v>Changed</v>
      </c>
      <c r="G440" t="str">
        <f t="shared" si="23"/>
        <v>-</v>
      </c>
    </row>
    <row r="441" spans="1:7" x14ac:dyDescent="0.25">
      <c r="A441" s="2" t="s">
        <v>1</v>
      </c>
      <c r="B441" s="9" t="s">
        <v>478</v>
      </c>
      <c r="C441" t="s">
        <v>1480</v>
      </c>
      <c r="D441" s="5" t="s">
        <v>2478</v>
      </c>
      <c r="E441" t="str">
        <f t="shared" si="21"/>
        <v>UPDATE [MAP].[T_TRANS_VENDOR] SET NEW_VENDOR_ID = 'V0446' WHERE LEGACY_VENDOR_ID = 'JORDANSFL' AND DATA_FOLDER_ID = 'sampl'</v>
      </c>
      <c r="F441" t="str">
        <f t="shared" si="22"/>
        <v>Changed</v>
      </c>
      <c r="G441" t="str">
        <f t="shared" si="23"/>
        <v>-</v>
      </c>
    </row>
    <row r="442" spans="1:7" x14ac:dyDescent="0.25">
      <c r="A442" s="2" t="s">
        <v>1</v>
      </c>
      <c r="B442" s="9" t="s">
        <v>479</v>
      </c>
      <c r="C442" t="s">
        <v>1481</v>
      </c>
      <c r="D442" s="5" t="s">
        <v>2479</v>
      </c>
      <c r="E442" t="str">
        <f t="shared" si="21"/>
        <v>UPDATE [MAP].[T_TRANS_VENDOR] SET NEW_VENDOR_ID = 'V0447' WHERE LEGACY_VENDOR_ID = 'JORDANTO' AND DATA_FOLDER_ID = 'sampl'</v>
      </c>
      <c r="F442" t="str">
        <f t="shared" si="22"/>
        <v>Changed</v>
      </c>
      <c r="G442" t="str">
        <f t="shared" si="23"/>
        <v>-</v>
      </c>
    </row>
    <row r="443" spans="1:7" x14ac:dyDescent="0.25">
      <c r="A443" s="2" t="s">
        <v>1</v>
      </c>
      <c r="B443" s="9" t="s">
        <v>480</v>
      </c>
      <c r="C443" t="s">
        <v>1482</v>
      </c>
      <c r="D443" s="5" t="s">
        <v>2480</v>
      </c>
      <c r="E443" t="str">
        <f t="shared" si="21"/>
        <v>UPDATE [MAP].[T_TRANS_VENDOR] SET NEW_VENDOR_ID = 'V0448' WHERE LEGACY_VENDOR_ID = 'JOYCEELE' AND DATA_FOLDER_ID = 'sampl'</v>
      </c>
      <c r="F443" t="str">
        <f t="shared" si="22"/>
        <v>Changed</v>
      </c>
      <c r="G443" t="str">
        <f t="shared" si="23"/>
        <v>-</v>
      </c>
    </row>
    <row r="444" spans="1:7" x14ac:dyDescent="0.25">
      <c r="A444" s="2" t="s">
        <v>1</v>
      </c>
      <c r="B444" s="9" t="s">
        <v>481</v>
      </c>
      <c r="C444" t="s">
        <v>1483</v>
      </c>
      <c r="D444" s="5" t="s">
        <v>2481</v>
      </c>
      <c r="E444" t="str">
        <f t="shared" si="21"/>
        <v>UPDATE [MAP].[T_TRANS_VENDOR] SET NEW_VENDOR_ID = 'V0449' WHERE LEGACY_VENDOR_ID = 'JUDGELUM' AND DATA_FOLDER_ID = 'sampl'</v>
      </c>
      <c r="F444" t="str">
        <f t="shared" si="22"/>
        <v>Changed</v>
      </c>
      <c r="G444" t="str">
        <f t="shared" si="23"/>
        <v>-</v>
      </c>
    </row>
    <row r="445" spans="1:7" x14ac:dyDescent="0.25">
      <c r="A445" s="2" t="s">
        <v>1</v>
      </c>
      <c r="B445" s="9" t="s">
        <v>482</v>
      </c>
      <c r="C445" t="s">
        <v>1484</v>
      </c>
      <c r="D445" s="5" t="s">
        <v>2482</v>
      </c>
      <c r="E445" t="str">
        <f t="shared" si="21"/>
        <v>UPDATE [MAP].[T_TRANS_VENDOR] SET NEW_VENDOR_ID = 'V0450' WHERE LEGACY_VENDOR_ID = 'JVIGROUP' AND DATA_FOLDER_ID = 'sampl'</v>
      </c>
      <c r="F445" t="str">
        <f t="shared" si="22"/>
        <v>Changed</v>
      </c>
      <c r="G445" t="str">
        <f t="shared" si="23"/>
        <v>-</v>
      </c>
    </row>
    <row r="446" spans="1:7" x14ac:dyDescent="0.25">
      <c r="A446" s="2" t="s">
        <v>1</v>
      </c>
      <c r="B446" s="9" t="s">
        <v>483</v>
      </c>
      <c r="C446" t="s">
        <v>1485</v>
      </c>
      <c r="D446" s="5" t="s">
        <v>2483</v>
      </c>
      <c r="E446" t="str">
        <f t="shared" si="21"/>
        <v>UPDATE [MAP].[T_TRANS_VENDOR] SET NEW_VENDOR_ID = 'V0451' WHERE LEGACY_VENDOR_ID = 'JWICONST' AND DATA_FOLDER_ID = 'sampl'</v>
      </c>
      <c r="F446" t="str">
        <f t="shared" si="22"/>
        <v>Changed</v>
      </c>
      <c r="G446" t="str">
        <f t="shared" si="23"/>
        <v>-</v>
      </c>
    </row>
    <row r="447" spans="1:7" x14ac:dyDescent="0.25">
      <c r="A447" s="2" t="s">
        <v>1</v>
      </c>
      <c r="B447" s="9" t="s">
        <v>484</v>
      </c>
      <c r="C447" t="s">
        <v>1486</v>
      </c>
      <c r="D447" s="5" t="s">
        <v>2484</v>
      </c>
      <c r="E447" t="str">
        <f t="shared" si="21"/>
        <v>UPDATE [MAP].[T_TRANS_VENDOR] SET NEW_VENDOR_ID = 'V0452' WHERE LEGACY_VENDOR_ID = 'KANUIKOI' AND DATA_FOLDER_ID = 'sampl'</v>
      </c>
      <c r="F447" t="str">
        <f t="shared" si="22"/>
        <v>Changed</v>
      </c>
      <c r="G447" t="str">
        <f t="shared" si="23"/>
        <v>-</v>
      </c>
    </row>
    <row r="448" spans="1:7" x14ac:dyDescent="0.25">
      <c r="A448" s="2" t="s">
        <v>1</v>
      </c>
      <c r="B448" s="9" t="s">
        <v>485</v>
      </c>
      <c r="C448" t="s">
        <v>1487</v>
      </c>
      <c r="D448" s="5" t="s">
        <v>2485</v>
      </c>
      <c r="E448" t="str">
        <f t="shared" si="21"/>
        <v>UPDATE [MAP].[T_TRANS_VENDOR] SET NEW_VENDOR_ID = 'V0453' WHERE LEGACY_VENDOR_ID = 'KELLEYBR' AND DATA_FOLDER_ID = 'sampl'</v>
      </c>
      <c r="F448" t="str">
        <f t="shared" si="22"/>
        <v>Changed</v>
      </c>
      <c r="G448" t="str">
        <f t="shared" si="23"/>
        <v>-</v>
      </c>
    </row>
    <row r="449" spans="1:7" x14ac:dyDescent="0.25">
      <c r="A449" s="2" t="s">
        <v>1</v>
      </c>
      <c r="B449" s="9" t="s">
        <v>486</v>
      </c>
      <c r="C449" t="s">
        <v>1488</v>
      </c>
      <c r="D449" s="5" t="s">
        <v>2486</v>
      </c>
      <c r="E449" t="str">
        <f t="shared" si="21"/>
        <v>UPDATE [MAP].[T_TRANS_VENDOR] SET NEW_VENDOR_ID = 'V0454' WHERE LEGACY_VENDOR_ID = 'KELLYSCO' AND DATA_FOLDER_ID = 'sampl'</v>
      </c>
      <c r="F449" t="str">
        <f t="shared" si="22"/>
        <v>Changed</v>
      </c>
      <c r="G449" t="str">
        <f t="shared" si="23"/>
        <v>-</v>
      </c>
    </row>
    <row r="450" spans="1:7" x14ac:dyDescent="0.25">
      <c r="A450" s="2" t="s">
        <v>1</v>
      </c>
      <c r="B450" s="9" t="s">
        <v>487</v>
      </c>
      <c r="C450" t="s">
        <v>1489</v>
      </c>
      <c r="D450" s="5" t="s">
        <v>2487</v>
      </c>
      <c r="E450" t="str">
        <f t="shared" si="21"/>
        <v>UPDATE [MAP].[T_TRANS_VENDOR] SET NEW_VENDOR_ID = 'V0455' WHERE LEGACY_VENDOR_ID = 'KEVINWOR' AND DATA_FOLDER_ID = 'sampl'</v>
      </c>
      <c r="F450" t="str">
        <f t="shared" si="22"/>
        <v>Changed</v>
      </c>
      <c r="G450" t="str">
        <f t="shared" si="23"/>
        <v>-</v>
      </c>
    </row>
    <row r="451" spans="1:7" x14ac:dyDescent="0.25">
      <c r="A451" s="2" t="s">
        <v>1</v>
      </c>
      <c r="B451" s="9" t="s">
        <v>488</v>
      </c>
      <c r="C451" t="s">
        <v>1490</v>
      </c>
      <c r="D451" s="5" t="s">
        <v>2488</v>
      </c>
      <c r="E451" t="str">
        <f t="shared" si="21"/>
        <v>UPDATE [MAP].[T_TRANS_VENDOR] SET NEW_VENDOR_ID = 'V0456' WHERE LEGACY_VENDOR_ID = 'KEYAUTOD' AND DATA_FOLDER_ID = 'sampl'</v>
      </c>
      <c r="F451" t="str">
        <f t="shared" si="22"/>
        <v>Changed</v>
      </c>
      <c r="G451" t="str">
        <f t="shared" si="23"/>
        <v>-</v>
      </c>
    </row>
    <row r="452" spans="1:7" x14ac:dyDescent="0.25">
      <c r="A452" s="2" t="s">
        <v>1</v>
      </c>
      <c r="B452" s="9" t="s">
        <v>489</v>
      </c>
      <c r="C452" t="s">
        <v>1491</v>
      </c>
      <c r="D452" s="5" t="s">
        <v>2489</v>
      </c>
      <c r="E452" t="str">
        <f t="shared" si="21"/>
        <v>UPDATE [MAP].[T_TRANS_VENDOR] SET NEW_VENDOR_ID = 'V0457' WHERE LEGACY_VENDOR_ID = 'KEYBLOCK' AND DATA_FOLDER_ID = 'sampl'</v>
      </c>
      <c r="F452" t="str">
        <f t="shared" si="22"/>
        <v>Changed</v>
      </c>
      <c r="G452" t="str">
        <f t="shared" si="23"/>
        <v>-</v>
      </c>
    </row>
    <row r="453" spans="1:7" x14ac:dyDescent="0.25">
      <c r="A453" s="2" t="s">
        <v>1</v>
      </c>
      <c r="B453" s="9" t="s">
        <v>490</v>
      </c>
      <c r="C453" t="s">
        <v>1492</v>
      </c>
      <c r="D453" s="5" t="s">
        <v>2490</v>
      </c>
      <c r="E453" t="str">
        <f t="shared" si="21"/>
        <v>UPDATE [MAP].[T_TRANS_VENDOR] SET NEW_VENDOR_ID = 'V0458' WHERE LEGACY_VENDOR_ID = 'KEYCONTA' AND DATA_FOLDER_ID = 'sampl'</v>
      </c>
      <c r="F453" t="str">
        <f t="shared" si="22"/>
        <v>Changed</v>
      </c>
      <c r="G453" t="str">
        <f t="shared" si="23"/>
        <v>-</v>
      </c>
    </row>
    <row r="454" spans="1:7" x14ac:dyDescent="0.25">
      <c r="A454" s="2" t="s">
        <v>1</v>
      </c>
      <c r="B454" s="9" t="s">
        <v>491</v>
      </c>
      <c r="C454" t="s">
        <v>1493</v>
      </c>
      <c r="D454" s="5" t="s">
        <v>2491</v>
      </c>
      <c r="E454" t="str">
        <f t="shared" si="21"/>
        <v>UPDATE [MAP].[T_TRANS_VENDOR] SET NEW_VENDOR_ID = 'V0459' WHERE LEGACY_VENDOR_ID = 'KEYPRECI' AND DATA_FOLDER_ID = 'sampl'</v>
      </c>
      <c r="F454" t="str">
        <f t="shared" si="22"/>
        <v>Changed</v>
      </c>
      <c r="G454" t="str">
        <f t="shared" si="23"/>
        <v>-</v>
      </c>
    </row>
    <row r="455" spans="1:7" x14ac:dyDescent="0.25">
      <c r="A455" s="2" t="s">
        <v>1</v>
      </c>
      <c r="B455" s="9" t="s">
        <v>492</v>
      </c>
      <c r="C455" t="s">
        <v>1494</v>
      </c>
      <c r="D455" s="5" t="s">
        <v>2492</v>
      </c>
      <c r="E455" t="str">
        <f t="shared" si="21"/>
        <v>UPDATE [MAP].[T_TRANS_VENDOR] SET NEW_VENDOR_ID = 'V0460' WHERE LEGACY_VENDOR_ID = 'KEYPROPA' AND DATA_FOLDER_ID = 'sampl'</v>
      </c>
      <c r="F455" t="str">
        <f t="shared" si="22"/>
        <v>Changed</v>
      </c>
      <c r="G455" t="str">
        <f t="shared" si="23"/>
        <v>-</v>
      </c>
    </row>
    <row r="456" spans="1:7" x14ac:dyDescent="0.25">
      <c r="A456" s="2" t="s">
        <v>1</v>
      </c>
      <c r="B456" s="9" t="s">
        <v>493</v>
      </c>
      <c r="C456" t="s">
        <v>1495</v>
      </c>
      <c r="D456" s="5" t="s">
        <v>2493</v>
      </c>
      <c r="E456" t="str">
        <f t="shared" si="21"/>
        <v>UPDATE [MAP].[T_TRANS_VENDOR] SET NEW_VENDOR_ID = 'V0461' WHERE LEGACY_VENDOR_ID = 'KEYSCUTT' AND DATA_FOLDER_ID = 'sampl'</v>
      </c>
      <c r="F456" t="str">
        <f t="shared" si="22"/>
        <v>Changed</v>
      </c>
      <c r="G456" t="str">
        <f t="shared" si="23"/>
        <v>-</v>
      </c>
    </row>
    <row r="457" spans="1:7" x14ac:dyDescent="0.25">
      <c r="A457" s="2" t="s">
        <v>1</v>
      </c>
      <c r="B457" s="9" t="s">
        <v>494</v>
      </c>
      <c r="C457" t="s">
        <v>1496</v>
      </c>
      <c r="D457" s="5" t="s">
        <v>2494</v>
      </c>
      <c r="E457" t="str">
        <f t="shared" si="21"/>
        <v>UPDATE [MAP].[T_TRANS_VENDOR] SET NEW_VENDOR_ID = 'V0462' WHERE LEGACY_VENDOR_ID = 'KEYSFABR' AND DATA_FOLDER_ID = 'sampl'</v>
      </c>
      <c r="F457" t="str">
        <f t="shared" si="22"/>
        <v>Changed</v>
      </c>
      <c r="G457" t="str">
        <f t="shared" si="23"/>
        <v>-</v>
      </c>
    </row>
    <row r="458" spans="1:7" x14ac:dyDescent="0.25">
      <c r="A458" s="2" t="s">
        <v>1</v>
      </c>
      <c r="B458" s="9" t="s">
        <v>495</v>
      </c>
      <c r="C458" t="s">
        <v>1497</v>
      </c>
      <c r="D458" s="5" t="s">
        <v>2495</v>
      </c>
      <c r="E458" t="str">
        <f t="shared" si="21"/>
        <v>UPDATE [MAP].[T_TRANS_VENDOR] SET NEW_VENDOR_ID = 'V0463' WHERE LEGACY_VENDOR_ID = 'KEYSTATE' AND DATA_FOLDER_ID = 'sampl'</v>
      </c>
      <c r="F458" t="str">
        <f t="shared" si="22"/>
        <v>Changed</v>
      </c>
      <c r="G458" t="str">
        <f t="shared" si="23"/>
        <v>-</v>
      </c>
    </row>
    <row r="459" spans="1:7" x14ac:dyDescent="0.25">
      <c r="A459" s="2" t="s">
        <v>1</v>
      </c>
      <c r="B459" s="9" t="s">
        <v>496</v>
      </c>
      <c r="C459" t="s">
        <v>1498</v>
      </c>
      <c r="D459" s="5" t="s">
        <v>2496</v>
      </c>
      <c r="E459" t="str">
        <f t="shared" si="21"/>
        <v>UPDATE [MAP].[T_TRANS_VENDOR] SET NEW_VENDOR_ID = 'V0464' WHERE LEGACY_VENDOR_ID = 'KEYSTONE' AND DATA_FOLDER_ID = 'sampl'</v>
      </c>
      <c r="F459" t="str">
        <f t="shared" si="22"/>
        <v>Changed</v>
      </c>
      <c r="G459" t="str">
        <f t="shared" si="23"/>
        <v>-</v>
      </c>
    </row>
    <row r="460" spans="1:7" x14ac:dyDescent="0.25">
      <c r="A460" s="2" t="s">
        <v>1</v>
      </c>
      <c r="B460" s="9" t="s">
        <v>497</v>
      </c>
      <c r="C460" t="s">
        <v>1499</v>
      </c>
      <c r="D460" s="5" t="s">
        <v>2497</v>
      </c>
      <c r="E460" t="str">
        <f t="shared" si="21"/>
        <v>UPDATE [MAP].[T_TRANS_VENDOR] SET NEW_VENDOR_ID = 'V0465' WHERE LEGACY_VENDOR_ID = 'KEYTRUCK' AND DATA_FOLDER_ID = 'sampl'</v>
      </c>
      <c r="F460" t="str">
        <f t="shared" si="22"/>
        <v>Changed</v>
      </c>
      <c r="G460" t="str">
        <f t="shared" si="23"/>
        <v>-</v>
      </c>
    </row>
    <row r="461" spans="1:7" x14ac:dyDescent="0.25">
      <c r="A461" s="2" t="s">
        <v>1</v>
      </c>
      <c r="B461" s="9" t="s">
        <v>498</v>
      </c>
      <c r="C461" t="s">
        <v>1500</v>
      </c>
      <c r="D461" s="5" t="s">
        <v>2498</v>
      </c>
      <c r="E461" t="str">
        <f t="shared" si="21"/>
        <v>UPDATE [MAP].[T_TRANS_VENDOR] SET NEW_VENDOR_ID = 'V0466' WHERE LEGACY_VENDOR_ID = 'KINGCONC' AND DATA_FOLDER_ID = 'sampl'</v>
      </c>
      <c r="F461" t="str">
        <f t="shared" si="22"/>
        <v>Changed</v>
      </c>
      <c r="G461" t="str">
        <f t="shared" si="23"/>
        <v>-</v>
      </c>
    </row>
    <row r="462" spans="1:7" x14ac:dyDescent="0.25">
      <c r="A462" s="2" t="s">
        <v>1</v>
      </c>
      <c r="B462" s="9" t="s">
        <v>499</v>
      </c>
      <c r="C462" t="s">
        <v>1501</v>
      </c>
      <c r="D462" s="5" t="s">
        <v>2499</v>
      </c>
      <c r="E462" t="str">
        <f t="shared" si="21"/>
        <v>UPDATE [MAP].[T_TRANS_VENDOR] SET NEW_VENDOR_ID = 'V0467' WHERE LEGACY_VENDOR_ID = 'KINGSPAN' AND DATA_FOLDER_ID = 'sampl'</v>
      </c>
      <c r="F462" t="str">
        <f t="shared" si="22"/>
        <v>Changed</v>
      </c>
      <c r="G462" t="str">
        <f t="shared" si="23"/>
        <v>-</v>
      </c>
    </row>
    <row r="463" spans="1:7" x14ac:dyDescent="0.25">
      <c r="A463" s="2" t="s">
        <v>1</v>
      </c>
      <c r="B463" s="9" t="s">
        <v>500</v>
      </c>
      <c r="C463" t="s">
        <v>1502</v>
      </c>
      <c r="D463" s="5" t="s">
        <v>2500</v>
      </c>
      <c r="E463" t="str">
        <f t="shared" ref="E463:E526" si="24">"UPDATE "&amp;$E$3&amp;" SET NEW_VENDOR_ID = '"&amp;D463&amp;"' WHERE LEGACY_VENDOR_ID = '"&amp;B463&amp;"' AND DATA_FOLDER_ID = '"&amp;$A463&amp;"'"</f>
        <v>UPDATE [MAP].[T_TRANS_VENDOR] SET NEW_VENDOR_ID = 'V0469' WHERE LEGACY_VENDOR_ID = 'KIRKMAN' AND DATA_FOLDER_ID = 'sampl'</v>
      </c>
      <c r="F463" t="str">
        <f t="shared" ref="F463:F526" si="25">IF(B463&lt;&gt;D463,"Changed","-")</f>
        <v>Changed</v>
      </c>
      <c r="G463" t="str">
        <f t="shared" ref="G463:G526" si="26">IF(B463="","Hide","-")</f>
        <v>-</v>
      </c>
    </row>
    <row r="464" spans="1:7" x14ac:dyDescent="0.25">
      <c r="A464" s="2" t="s">
        <v>1</v>
      </c>
      <c r="B464" s="9" t="s">
        <v>501</v>
      </c>
      <c r="C464" t="s">
        <v>1503</v>
      </c>
      <c r="D464" s="5" t="s">
        <v>2501</v>
      </c>
      <c r="E464" t="str">
        <f t="shared" si="24"/>
        <v>UPDATE [MAP].[T_TRANS_VENDOR] SET NEW_VENDOR_ID = 'V0470' WHERE LEGACY_VENDOR_ID = 'KLECONST' AND DATA_FOLDER_ID = 'sampl'</v>
      </c>
      <c r="F464" t="str">
        <f t="shared" si="25"/>
        <v>Changed</v>
      </c>
      <c r="G464" t="str">
        <f t="shared" si="26"/>
        <v>-</v>
      </c>
    </row>
    <row r="465" spans="1:7" x14ac:dyDescent="0.25">
      <c r="A465" s="2" t="s">
        <v>1</v>
      </c>
      <c r="B465" s="9" t="s">
        <v>502</v>
      </c>
      <c r="C465" t="s">
        <v>1504</v>
      </c>
      <c r="D465" s="5" t="s">
        <v>2502</v>
      </c>
      <c r="E465" t="str">
        <f t="shared" si="24"/>
        <v>UPDATE [MAP].[T_TRANS_VENDOR] SET NEW_VENDOR_ID = 'V0471' WHERE LEGACY_VENDOR_ID = 'KLOPPMAN' AND DATA_FOLDER_ID = 'sampl'</v>
      </c>
      <c r="F465" t="str">
        <f t="shared" si="25"/>
        <v>Changed</v>
      </c>
      <c r="G465" t="str">
        <f t="shared" si="26"/>
        <v>-</v>
      </c>
    </row>
    <row r="466" spans="1:7" x14ac:dyDescent="0.25">
      <c r="A466" s="2" t="s">
        <v>1</v>
      </c>
      <c r="B466" s="9" t="s">
        <v>503</v>
      </c>
      <c r="C466" t="s">
        <v>1505</v>
      </c>
      <c r="D466" s="5" t="s">
        <v>2503</v>
      </c>
      <c r="E466" t="str">
        <f t="shared" si="24"/>
        <v>UPDATE [MAP].[T_TRANS_VENDOR] SET NEW_VENDOR_ID = 'V0472' WHERE LEGACY_VENDOR_ID = 'KNOWLTON' AND DATA_FOLDER_ID = 'sampl'</v>
      </c>
      <c r="F466" t="str">
        <f t="shared" si="25"/>
        <v>Changed</v>
      </c>
      <c r="G466" t="str">
        <f t="shared" si="26"/>
        <v>-</v>
      </c>
    </row>
    <row r="467" spans="1:7" x14ac:dyDescent="0.25">
      <c r="A467" s="2" t="s">
        <v>1</v>
      </c>
      <c r="B467" s="9" t="s">
        <v>504</v>
      </c>
      <c r="C467" t="s">
        <v>1506</v>
      </c>
      <c r="D467" s="5" t="s">
        <v>2504</v>
      </c>
      <c r="E467" t="str">
        <f t="shared" si="24"/>
        <v>UPDATE [MAP].[T_TRANS_VENDOR] SET NEW_VENDOR_ID = 'V0473' WHERE LEGACY_VENDOR_ID = 'KOMSAND' AND DATA_FOLDER_ID = 'sampl'</v>
      </c>
      <c r="F467" t="str">
        <f t="shared" si="25"/>
        <v>Changed</v>
      </c>
      <c r="G467" t="str">
        <f t="shared" si="26"/>
        <v>-</v>
      </c>
    </row>
    <row r="468" spans="1:7" x14ac:dyDescent="0.25">
      <c r="A468" s="2" t="s">
        <v>1</v>
      </c>
      <c r="B468" s="9" t="s">
        <v>505</v>
      </c>
      <c r="C468" t="s">
        <v>1507</v>
      </c>
      <c r="D468" s="5" t="s">
        <v>2505</v>
      </c>
      <c r="E468" t="str">
        <f t="shared" si="24"/>
        <v>UPDATE [MAP].[T_TRANS_VENDOR] SET NEW_VENDOR_ID = 'V0474' WHERE LEGACY_VENDOR_ID = 'KONECRANE' AND DATA_FOLDER_ID = 'sampl'</v>
      </c>
      <c r="F468" t="str">
        <f t="shared" si="25"/>
        <v>Changed</v>
      </c>
      <c r="G468" t="str">
        <f t="shared" si="26"/>
        <v>-</v>
      </c>
    </row>
    <row r="469" spans="1:7" x14ac:dyDescent="0.25">
      <c r="A469" s="2" t="s">
        <v>1</v>
      </c>
      <c r="B469" s="9" t="s">
        <v>506</v>
      </c>
      <c r="C469" t="s">
        <v>1508</v>
      </c>
      <c r="D469" s="5" t="s">
        <v>2506</v>
      </c>
      <c r="E469" t="str">
        <f t="shared" si="24"/>
        <v>UPDATE [MAP].[T_TRANS_VENDOR] SET NEW_VENDOR_ID = 'V0475' WHERE LEGACY_VENDOR_ID = 'KOSTTIRE' AND DATA_FOLDER_ID = 'sampl'</v>
      </c>
      <c r="F469" t="str">
        <f t="shared" si="25"/>
        <v>Changed</v>
      </c>
      <c r="G469" t="str">
        <f t="shared" si="26"/>
        <v>-</v>
      </c>
    </row>
    <row r="470" spans="1:7" x14ac:dyDescent="0.25">
      <c r="A470" s="2" t="s">
        <v>1</v>
      </c>
      <c r="B470" s="9" t="s">
        <v>507</v>
      </c>
      <c r="C470" t="s">
        <v>1509</v>
      </c>
      <c r="D470" s="5" t="s">
        <v>2507</v>
      </c>
      <c r="E470" t="str">
        <f t="shared" si="24"/>
        <v>UPDATE [MAP].[T_TRANS_VENDOR] SET NEW_VENDOR_ID = 'V0476' WHERE LEGACY_VENDOR_ID = 'KRAUSCOM' AND DATA_FOLDER_ID = 'sampl'</v>
      </c>
      <c r="F470" t="str">
        <f t="shared" si="25"/>
        <v>Changed</v>
      </c>
      <c r="G470" t="str">
        <f t="shared" si="26"/>
        <v>-</v>
      </c>
    </row>
    <row r="471" spans="1:7" x14ac:dyDescent="0.25">
      <c r="A471" s="2" t="s">
        <v>1</v>
      </c>
      <c r="B471" s="9" t="s">
        <v>508</v>
      </c>
      <c r="C471" t="s">
        <v>1510</v>
      </c>
      <c r="D471" s="5" t="s">
        <v>2508</v>
      </c>
      <c r="E471" t="str">
        <f t="shared" si="24"/>
        <v>UPDATE [MAP].[T_TRANS_VENDOR] SET NEW_VENDOR_ID = 'V0477' WHERE LEGACY_VENDOR_ID = 'KREITZCO' AND DATA_FOLDER_ID = 'sampl'</v>
      </c>
      <c r="F471" t="str">
        <f t="shared" si="25"/>
        <v>Changed</v>
      </c>
      <c r="G471" t="str">
        <f t="shared" si="26"/>
        <v>-</v>
      </c>
    </row>
    <row r="472" spans="1:7" x14ac:dyDescent="0.25">
      <c r="A472" s="2" t="s">
        <v>1</v>
      </c>
      <c r="B472" s="9" t="s">
        <v>509</v>
      </c>
      <c r="C472" t="s">
        <v>1511</v>
      </c>
      <c r="D472" s="5" t="s">
        <v>2509</v>
      </c>
      <c r="E472" t="str">
        <f t="shared" si="24"/>
        <v>UPDATE [MAP].[T_TRANS_VENDOR] SET NEW_VENDOR_ID = 'V0478' WHERE LEGACY_VENDOR_ID = 'KRIGERCO' AND DATA_FOLDER_ID = 'sampl'</v>
      </c>
      <c r="F472" t="str">
        <f t="shared" si="25"/>
        <v>Changed</v>
      </c>
      <c r="G472" t="str">
        <f t="shared" si="26"/>
        <v>-</v>
      </c>
    </row>
    <row r="473" spans="1:7" x14ac:dyDescent="0.25">
      <c r="A473" s="2" t="s">
        <v>1</v>
      </c>
      <c r="B473" s="9" t="s">
        <v>510</v>
      </c>
      <c r="C473" t="s">
        <v>1512</v>
      </c>
      <c r="D473" s="5" t="s">
        <v>2510</v>
      </c>
      <c r="E473" t="str">
        <f t="shared" si="24"/>
        <v>UPDATE [MAP].[T_TRANS_VENDOR] SET NEW_VENDOR_ID = 'V0479' WHERE LEGACY_VENDOR_ID = 'KUECKER' AND DATA_FOLDER_ID = 'sampl'</v>
      </c>
      <c r="F473" t="str">
        <f t="shared" si="25"/>
        <v>Changed</v>
      </c>
      <c r="G473" t="str">
        <f t="shared" si="26"/>
        <v>-</v>
      </c>
    </row>
    <row r="474" spans="1:7" x14ac:dyDescent="0.25">
      <c r="A474" s="2" t="s">
        <v>1</v>
      </c>
      <c r="B474" s="9" t="s">
        <v>511</v>
      </c>
      <c r="C474" t="s">
        <v>1513</v>
      </c>
      <c r="D474" s="5" t="s">
        <v>2511</v>
      </c>
      <c r="E474" t="str">
        <f t="shared" si="24"/>
        <v>UPDATE [MAP].[T_TRANS_VENDOR] SET NEW_VENDOR_ID = 'V0480' WHERE LEGACY_VENDOR_ID = 'KUZANSHA' AND DATA_FOLDER_ID = 'sampl'</v>
      </c>
      <c r="F474" t="str">
        <f t="shared" si="25"/>
        <v>Changed</v>
      </c>
      <c r="G474" t="str">
        <f t="shared" si="26"/>
        <v>-</v>
      </c>
    </row>
    <row r="475" spans="1:7" x14ac:dyDescent="0.25">
      <c r="A475" s="2" t="s">
        <v>1</v>
      </c>
      <c r="B475" s="9" t="s">
        <v>512</v>
      </c>
      <c r="C475" t="s">
        <v>1514</v>
      </c>
      <c r="D475" s="5" t="s">
        <v>2512</v>
      </c>
      <c r="E475" t="str">
        <f t="shared" si="24"/>
        <v>UPDATE [MAP].[T_TRANS_VENDOR] SET NEW_VENDOR_ID = 'V0481' WHERE LEGACY_VENDOR_ID = 'KWIKBOND' AND DATA_FOLDER_ID = 'sampl'</v>
      </c>
      <c r="F475" t="str">
        <f t="shared" si="25"/>
        <v>Changed</v>
      </c>
      <c r="G475" t="str">
        <f t="shared" si="26"/>
        <v>-</v>
      </c>
    </row>
    <row r="476" spans="1:7" x14ac:dyDescent="0.25">
      <c r="A476" s="2" t="s">
        <v>1</v>
      </c>
      <c r="B476" s="9" t="s">
        <v>513</v>
      </c>
      <c r="C476" t="s">
        <v>1515</v>
      </c>
      <c r="D476" s="5" t="s">
        <v>2513</v>
      </c>
      <c r="E476" t="str">
        <f t="shared" si="24"/>
        <v>UPDATE [MAP].[T_TRANS_VENDOR] SET NEW_VENDOR_ID = 'V0482' WHERE LEGACY_VENDOR_ID = 'KWINSTAL' AND DATA_FOLDER_ID = 'sampl'</v>
      </c>
      <c r="F476" t="str">
        <f t="shared" si="25"/>
        <v>Changed</v>
      </c>
      <c r="G476" t="str">
        <f t="shared" si="26"/>
        <v>-</v>
      </c>
    </row>
    <row r="477" spans="1:7" x14ac:dyDescent="0.25">
      <c r="A477" s="2" t="s">
        <v>1</v>
      </c>
      <c r="B477" s="9" t="s">
        <v>514</v>
      </c>
      <c r="C477" t="s">
        <v>1516</v>
      </c>
      <c r="D477" s="5" t="s">
        <v>2514</v>
      </c>
      <c r="E477" t="str">
        <f t="shared" si="24"/>
        <v>UPDATE [MAP].[T_TRANS_VENDOR] SET NEW_VENDOR_ID = 'V0483' WHERE LEGACY_VENDOR_ID = 'L&amp;LCONST' AND DATA_FOLDER_ID = 'sampl'</v>
      </c>
      <c r="F477" t="str">
        <f t="shared" si="25"/>
        <v>Changed</v>
      </c>
      <c r="G477" t="str">
        <f t="shared" si="26"/>
        <v>-</v>
      </c>
    </row>
    <row r="478" spans="1:7" x14ac:dyDescent="0.25">
      <c r="A478" s="2" t="s">
        <v>1</v>
      </c>
      <c r="B478" s="9" t="s">
        <v>515</v>
      </c>
      <c r="C478" t="s">
        <v>1517</v>
      </c>
      <c r="D478" s="5" t="s">
        <v>2515</v>
      </c>
      <c r="E478" t="str">
        <f t="shared" si="24"/>
        <v>UPDATE [MAP].[T_TRANS_VENDOR] SET NEW_VENDOR_ID = 'V0484' WHERE LEGACY_VENDOR_ID = 'L&amp;WSUPPL' AND DATA_FOLDER_ID = 'sampl'</v>
      </c>
      <c r="F478" t="str">
        <f t="shared" si="25"/>
        <v>Changed</v>
      </c>
      <c r="G478" t="str">
        <f t="shared" si="26"/>
        <v>-</v>
      </c>
    </row>
    <row r="479" spans="1:7" x14ac:dyDescent="0.25">
      <c r="A479" s="2" t="s">
        <v>1</v>
      </c>
      <c r="B479" s="9" t="s">
        <v>516</v>
      </c>
      <c r="C479" t="s">
        <v>1518</v>
      </c>
      <c r="D479" s="5" t="s">
        <v>2516</v>
      </c>
      <c r="E479" t="str">
        <f t="shared" si="24"/>
        <v>UPDATE [MAP].[T_TRANS_VENDOR] SET NEW_VENDOR_ID = 'V0485' WHERE LEGACY_VENDOR_ID = 'LABDESIGN' AND DATA_FOLDER_ID = 'sampl'</v>
      </c>
      <c r="F479" t="str">
        <f t="shared" si="25"/>
        <v>Changed</v>
      </c>
      <c r="G479" t="str">
        <f t="shared" si="26"/>
        <v>-</v>
      </c>
    </row>
    <row r="480" spans="1:7" x14ac:dyDescent="0.25">
      <c r="A480" s="2" t="s">
        <v>1</v>
      </c>
      <c r="B480" s="9" t="s">
        <v>517</v>
      </c>
      <c r="C480" t="s">
        <v>1519</v>
      </c>
      <c r="D480" s="5" t="s">
        <v>2517</v>
      </c>
      <c r="E480" t="str">
        <f t="shared" si="24"/>
        <v>UPDATE [MAP].[T_TRANS_VENDOR] SET NEW_VENDOR_ID = 'V0486' WHERE LEGACY_VENDOR_ID = 'LABDI158' AND DATA_FOLDER_ID = 'sampl'</v>
      </c>
      <c r="F480" t="str">
        <f t="shared" si="25"/>
        <v>Changed</v>
      </c>
      <c r="G480" t="str">
        <f t="shared" si="26"/>
        <v>-</v>
      </c>
    </row>
    <row r="481" spans="1:7" x14ac:dyDescent="0.25">
      <c r="A481" s="2" t="s">
        <v>1</v>
      </c>
      <c r="B481" s="9" t="s">
        <v>518</v>
      </c>
      <c r="C481" t="s">
        <v>1520</v>
      </c>
      <c r="D481" s="5" t="s">
        <v>2518</v>
      </c>
      <c r="E481" t="str">
        <f t="shared" si="24"/>
        <v>UPDATE [MAP].[T_TRANS_VENDOR] SET NEW_VENDOR_ID = 'V0487' WHERE LEGACY_VENDOR_ID = 'LABELASS' AND DATA_FOLDER_ID = 'sampl'</v>
      </c>
      <c r="F481" t="str">
        <f t="shared" si="25"/>
        <v>Changed</v>
      </c>
      <c r="G481" t="str">
        <f t="shared" si="26"/>
        <v>-</v>
      </c>
    </row>
    <row r="482" spans="1:7" x14ac:dyDescent="0.25">
      <c r="A482" s="2" t="s">
        <v>1</v>
      </c>
      <c r="B482" s="9" t="s">
        <v>519</v>
      </c>
      <c r="C482" t="s">
        <v>1521</v>
      </c>
      <c r="D482" s="5" t="s">
        <v>2519</v>
      </c>
      <c r="E482" t="str">
        <f t="shared" si="24"/>
        <v>UPDATE [MAP].[T_TRANS_VENDOR] SET NEW_VENDOR_ID = 'V0488' WHERE LEGACY_VENDOR_ID = 'LABLOC58' AND DATA_FOLDER_ID = 'sampl'</v>
      </c>
      <c r="F482" t="str">
        <f t="shared" si="25"/>
        <v>Changed</v>
      </c>
      <c r="G482" t="str">
        <f t="shared" si="26"/>
        <v>-</v>
      </c>
    </row>
    <row r="483" spans="1:7" x14ac:dyDescent="0.25">
      <c r="A483" s="2" t="s">
        <v>1</v>
      </c>
      <c r="B483" s="9" t="s">
        <v>520</v>
      </c>
      <c r="C483" t="s">
        <v>1522</v>
      </c>
      <c r="D483" s="5" t="s">
        <v>2520</v>
      </c>
      <c r="E483" t="str">
        <f t="shared" si="24"/>
        <v>UPDATE [MAP].[T_TRANS_VENDOR] SET NEW_VENDOR_ID = 'V0489' WHERE LEGACY_VENDOR_ID = 'LABLOCBE' AND DATA_FOLDER_ID = 'sampl'</v>
      </c>
      <c r="F483" t="str">
        <f t="shared" si="25"/>
        <v>Changed</v>
      </c>
      <c r="G483" t="str">
        <f t="shared" si="26"/>
        <v>-</v>
      </c>
    </row>
    <row r="484" spans="1:7" x14ac:dyDescent="0.25">
      <c r="A484" s="2" t="s">
        <v>1</v>
      </c>
      <c r="B484" s="9" t="s">
        <v>521</v>
      </c>
      <c r="C484" t="s">
        <v>1523</v>
      </c>
      <c r="D484" s="5" t="s">
        <v>2521</v>
      </c>
      <c r="E484" t="str">
        <f t="shared" si="24"/>
        <v>UPDATE [MAP].[T_TRANS_VENDOR] SET NEW_VENDOR_ID = 'V0490' WHERE LEGACY_VENDOR_ID = 'LACKPRIN' AND DATA_FOLDER_ID = 'sampl'</v>
      </c>
      <c r="F484" t="str">
        <f t="shared" si="25"/>
        <v>Changed</v>
      </c>
      <c r="G484" t="str">
        <f t="shared" si="26"/>
        <v>-</v>
      </c>
    </row>
    <row r="485" spans="1:7" x14ac:dyDescent="0.25">
      <c r="A485" s="2" t="s">
        <v>1</v>
      </c>
      <c r="B485" s="9" t="s">
        <v>522</v>
      </c>
      <c r="C485" t="s">
        <v>1524</v>
      </c>
      <c r="D485" s="5" t="s">
        <v>2522</v>
      </c>
      <c r="E485" t="str">
        <f t="shared" si="24"/>
        <v>UPDATE [MAP].[T_TRANS_VENDOR] SET NEW_VENDOR_ID = 'V0491' WHERE LEGACY_VENDOR_ID = 'LAMINARFL' AND DATA_FOLDER_ID = 'sampl'</v>
      </c>
      <c r="F485" t="str">
        <f t="shared" si="25"/>
        <v>Changed</v>
      </c>
      <c r="G485" t="str">
        <f t="shared" si="26"/>
        <v>-</v>
      </c>
    </row>
    <row r="486" spans="1:7" x14ac:dyDescent="0.25">
      <c r="A486" s="2" t="s">
        <v>1</v>
      </c>
      <c r="B486" s="9" t="s">
        <v>523</v>
      </c>
      <c r="C486" t="s">
        <v>1525</v>
      </c>
      <c r="D486" s="5" t="s">
        <v>2523</v>
      </c>
      <c r="E486" t="str">
        <f t="shared" si="24"/>
        <v>UPDATE [MAP].[T_TRANS_VENDOR] SET NEW_VENDOR_ID = 'V0492' WHERE LEGACY_VENDOR_ID = 'LANESCRA' AND DATA_FOLDER_ID = 'sampl'</v>
      </c>
      <c r="F486" t="str">
        <f t="shared" si="25"/>
        <v>Changed</v>
      </c>
      <c r="G486" t="str">
        <f t="shared" si="26"/>
        <v>-</v>
      </c>
    </row>
    <row r="487" spans="1:7" x14ac:dyDescent="0.25">
      <c r="A487" s="2" t="s">
        <v>1</v>
      </c>
      <c r="B487" s="9" t="s">
        <v>524</v>
      </c>
      <c r="C487" t="s">
        <v>1526</v>
      </c>
      <c r="D487" s="5" t="s">
        <v>2524</v>
      </c>
      <c r="E487" t="str">
        <f t="shared" si="24"/>
        <v>UPDATE [MAP].[T_TRANS_VENDOR] SET NEW_VENDOR_ID = 'V0493' WHERE LEGACY_VENDOR_ID = 'LARSONLI' AND DATA_FOLDER_ID = 'sampl'</v>
      </c>
      <c r="F487" t="str">
        <f t="shared" si="25"/>
        <v>Changed</v>
      </c>
      <c r="G487" t="str">
        <f t="shared" si="26"/>
        <v>-</v>
      </c>
    </row>
    <row r="488" spans="1:7" x14ac:dyDescent="0.25">
      <c r="A488" s="2" t="s">
        <v>1</v>
      </c>
      <c r="B488" s="9" t="s">
        <v>525</v>
      </c>
      <c r="C488" t="s">
        <v>1527</v>
      </c>
      <c r="D488" s="5" t="s">
        <v>2525</v>
      </c>
      <c r="E488" t="str">
        <f t="shared" si="24"/>
        <v>UPDATE [MAP].[T_TRANS_VENDOR] SET NEW_VENDOR_ID = 'V0494' WHERE LEGACY_VENDOR_ID = 'LATCON' AND DATA_FOLDER_ID = 'sampl'</v>
      </c>
      <c r="F488" t="str">
        <f t="shared" si="25"/>
        <v>Changed</v>
      </c>
      <c r="G488" t="str">
        <f t="shared" si="26"/>
        <v>-</v>
      </c>
    </row>
    <row r="489" spans="1:7" x14ac:dyDescent="0.25">
      <c r="A489" s="2" t="s">
        <v>1</v>
      </c>
      <c r="B489" s="9" t="s">
        <v>526</v>
      </c>
      <c r="C489" t="s">
        <v>1528</v>
      </c>
      <c r="D489" s="5" t="s">
        <v>2526</v>
      </c>
      <c r="E489" t="str">
        <f t="shared" si="24"/>
        <v>UPDATE [MAP].[T_TRANS_VENDOR] SET NEW_VENDOR_ID = 'V0495' WHERE LEGACY_VENDOR_ID = 'LBCREDIT' AND DATA_FOLDER_ID = 'sampl'</v>
      </c>
      <c r="F489" t="str">
        <f t="shared" si="25"/>
        <v>Changed</v>
      </c>
      <c r="G489" t="str">
        <f t="shared" si="26"/>
        <v>-</v>
      </c>
    </row>
    <row r="490" spans="1:7" x14ac:dyDescent="0.25">
      <c r="A490" s="2" t="s">
        <v>1</v>
      </c>
      <c r="B490" s="9" t="s">
        <v>527</v>
      </c>
      <c r="C490" t="s">
        <v>1529</v>
      </c>
      <c r="D490" s="5" t="s">
        <v>2527</v>
      </c>
      <c r="E490" t="str">
        <f t="shared" si="24"/>
        <v>UPDATE [MAP].[T_TRANS_VENDOR] SET NEW_VENDOR_ID = 'V0496' WHERE LEGACY_VENDOR_ID = 'LCPTRACKER' AND DATA_FOLDER_ID = 'sampl'</v>
      </c>
      <c r="F490" t="str">
        <f t="shared" si="25"/>
        <v>Changed</v>
      </c>
      <c r="G490" t="str">
        <f t="shared" si="26"/>
        <v>-</v>
      </c>
    </row>
    <row r="491" spans="1:7" x14ac:dyDescent="0.25">
      <c r="A491" s="2" t="s">
        <v>1</v>
      </c>
      <c r="B491" s="9" t="s">
        <v>528</v>
      </c>
      <c r="C491" t="s">
        <v>1530</v>
      </c>
      <c r="D491" s="5" t="s">
        <v>2528</v>
      </c>
      <c r="E491" t="str">
        <f t="shared" si="24"/>
        <v>UPDATE [MAP].[T_TRANS_VENDOR] SET NEW_VENDOR_ID = 'V0497' WHERE LEGACY_VENDOR_ID = 'LEADCAR' AND DATA_FOLDER_ID = 'sampl'</v>
      </c>
      <c r="F491" t="str">
        <f t="shared" si="25"/>
        <v>Changed</v>
      </c>
      <c r="G491" t="str">
        <f t="shared" si="26"/>
        <v>-</v>
      </c>
    </row>
    <row r="492" spans="1:7" x14ac:dyDescent="0.25">
      <c r="A492" s="2" t="s">
        <v>1</v>
      </c>
      <c r="B492" s="9" t="s">
        <v>529</v>
      </c>
      <c r="C492" t="s">
        <v>1531</v>
      </c>
      <c r="D492" s="5" t="s">
        <v>2529</v>
      </c>
      <c r="E492" t="str">
        <f t="shared" si="24"/>
        <v>UPDATE [MAP].[T_TRANS_VENDOR] SET NEW_VENDOR_ID = 'V0499' WHERE LEGACY_VENDOR_ID = 'LEBERELE' AND DATA_FOLDER_ID = 'sampl'</v>
      </c>
      <c r="F492" t="str">
        <f t="shared" si="25"/>
        <v>Changed</v>
      </c>
      <c r="G492" t="str">
        <f t="shared" si="26"/>
        <v>-</v>
      </c>
    </row>
    <row r="493" spans="1:7" x14ac:dyDescent="0.25">
      <c r="A493" s="2" t="s">
        <v>1</v>
      </c>
      <c r="B493" s="9" t="s">
        <v>530</v>
      </c>
      <c r="C493" t="s">
        <v>1532</v>
      </c>
      <c r="D493" s="5" t="s">
        <v>2530</v>
      </c>
      <c r="E493" t="str">
        <f t="shared" si="24"/>
        <v>UPDATE [MAP].[T_TRANS_VENDOR] SET NEW_VENDOR_ID = 'V0500' WHERE LEGACY_VENDOR_ID = 'LEEELECT' AND DATA_FOLDER_ID = 'sampl'</v>
      </c>
      <c r="F493" t="str">
        <f t="shared" si="25"/>
        <v>Changed</v>
      </c>
      <c r="G493" t="str">
        <f t="shared" si="26"/>
        <v>-</v>
      </c>
    </row>
    <row r="494" spans="1:7" x14ac:dyDescent="0.25">
      <c r="A494" s="2" t="s">
        <v>1</v>
      </c>
      <c r="B494" s="9" t="s">
        <v>531</v>
      </c>
      <c r="C494" t="s">
        <v>1533</v>
      </c>
      <c r="D494" s="5" t="s">
        <v>2531</v>
      </c>
      <c r="E494" t="str">
        <f t="shared" si="24"/>
        <v>UPDATE [MAP].[T_TRANS_VENDOR] SET NEW_VENDOR_ID = 'V0501' WHERE LEGACY_VENDOR_ID = 'LEHSALES' AND DATA_FOLDER_ID = 'sampl'</v>
      </c>
      <c r="F494" t="str">
        <f t="shared" si="25"/>
        <v>Changed</v>
      </c>
      <c r="G494" t="str">
        <f t="shared" si="26"/>
        <v>-</v>
      </c>
    </row>
    <row r="495" spans="1:7" x14ac:dyDescent="0.25">
      <c r="A495" s="2" t="s">
        <v>1</v>
      </c>
      <c r="B495" s="9" t="s">
        <v>532</v>
      </c>
      <c r="C495" t="s">
        <v>1534</v>
      </c>
      <c r="D495" s="5" t="s">
        <v>2532</v>
      </c>
      <c r="E495" t="str">
        <f t="shared" si="24"/>
        <v>UPDATE [MAP].[T_TRANS_VENDOR] SET NEW_VENDOR_ID = 'V0502' WHERE LEGACY_VENDOR_ID = 'LEHSUPPL' AND DATA_FOLDER_ID = 'sampl'</v>
      </c>
      <c r="F495" t="str">
        <f t="shared" si="25"/>
        <v>Changed</v>
      </c>
      <c r="G495" t="str">
        <f t="shared" si="26"/>
        <v>-</v>
      </c>
    </row>
    <row r="496" spans="1:7" x14ac:dyDescent="0.25">
      <c r="A496" s="2" t="s">
        <v>1</v>
      </c>
      <c r="B496" s="9" t="s">
        <v>533</v>
      </c>
      <c r="C496" t="s">
        <v>1535</v>
      </c>
      <c r="D496" s="5" t="s">
        <v>2533</v>
      </c>
      <c r="E496" t="str">
        <f t="shared" si="24"/>
        <v>UPDATE [MAP].[T_TRANS_VENDOR] SET NEW_VENDOR_ID = 'V0503' WHERE LEGACY_VENDOR_ID = 'LEVELA00' AND DATA_FOLDER_ID = 'sampl'</v>
      </c>
      <c r="F496" t="str">
        <f t="shared" si="25"/>
        <v>Changed</v>
      </c>
      <c r="G496" t="str">
        <f t="shared" si="26"/>
        <v>-</v>
      </c>
    </row>
    <row r="497" spans="1:7" x14ac:dyDescent="0.25">
      <c r="A497" s="2" t="s">
        <v>1</v>
      </c>
      <c r="B497" s="9" t="s">
        <v>534</v>
      </c>
      <c r="C497" t="s">
        <v>1536</v>
      </c>
      <c r="D497" s="5" t="s">
        <v>2534</v>
      </c>
      <c r="E497" t="str">
        <f t="shared" si="24"/>
        <v>UPDATE [MAP].[T_TRANS_VENDOR] SET NEW_VENDOR_ID = 'V0504' WHERE LEGACY_VENDOR_ID = 'LEWISINC' AND DATA_FOLDER_ID = 'sampl'</v>
      </c>
      <c r="F497" t="str">
        <f t="shared" si="25"/>
        <v>Changed</v>
      </c>
      <c r="G497" t="str">
        <f t="shared" si="26"/>
        <v>-</v>
      </c>
    </row>
    <row r="498" spans="1:7" x14ac:dyDescent="0.25">
      <c r="A498" s="2" t="s">
        <v>1</v>
      </c>
      <c r="B498" s="9" t="s">
        <v>535</v>
      </c>
      <c r="C498" t="s">
        <v>1537</v>
      </c>
      <c r="D498" s="5" t="s">
        <v>2535</v>
      </c>
      <c r="E498" t="str">
        <f t="shared" si="24"/>
        <v>UPDATE [MAP].[T_TRANS_VENDOR] SET NEW_VENDOR_ID = 'V0505' WHERE LEGACY_VENDOR_ID = 'LEWISSTU' AND DATA_FOLDER_ID = 'sampl'</v>
      </c>
      <c r="F498" t="str">
        <f t="shared" si="25"/>
        <v>Changed</v>
      </c>
      <c r="G498" t="str">
        <f t="shared" si="26"/>
        <v>-</v>
      </c>
    </row>
    <row r="499" spans="1:7" x14ac:dyDescent="0.25">
      <c r="A499" s="2" t="s">
        <v>1</v>
      </c>
      <c r="B499" s="9" t="s">
        <v>536</v>
      </c>
      <c r="C499" t="s">
        <v>1538</v>
      </c>
      <c r="D499" s="5" t="s">
        <v>2536</v>
      </c>
      <c r="E499" t="str">
        <f t="shared" si="24"/>
        <v>UPDATE [MAP].[T_TRANS_VENDOR] SET NEW_VENDOR_ID = 'V0506' WHERE LEGACY_VENDOR_ID = 'LEZZERLU' AND DATA_FOLDER_ID = 'sampl'</v>
      </c>
      <c r="F499" t="str">
        <f t="shared" si="25"/>
        <v>Changed</v>
      </c>
      <c r="G499" t="str">
        <f t="shared" si="26"/>
        <v>-</v>
      </c>
    </row>
    <row r="500" spans="1:7" x14ac:dyDescent="0.25">
      <c r="A500" s="2" t="s">
        <v>1</v>
      </c>
      <c r="B500" s="9" t="s">
        <v>537</v>
      </c>
      <c r="C500" t="s">
        <v>1539</v>
      </c>
      <c r="D500" s="5" t="s">
        <v>2537</v>
      </c>
      <c r="E500" t="str">
        <f t="shared" si="24"/>
        <v>UPDATE [MAP].[T_TRANS_VENDOR] SET NEW_VENDOR_ID = 'V0507' WHERE LEGACY_VENDOR_ID = 'LIBEEXCA' AND DATA_FOLDER_ID = 'sampl'</v>
      </c>
      <c r="F500" t="str">
        <f t="shared" si="25"/>
        <v>Changed</v>
      </c>
      <c r="G500" t="str">
        <f t="shared" si="26"/>
        <v>-</v>
      </c>
    </row>
    <row r="501" spans="1:7" x14ac:dyDescent="0.25">
      <c r="A501" s="2" t="s">
        <v>1</v>
      </c>
      <c r="B501" s="9" t="s">
        <v>538</v>
      </c>
      <c r="C501" t="s">
        <v>1540</v>
      </c>
      <c r="D501" s="5" t="s">
        <v>2538</v>
      </c>
      <c r="E501" t="str">
        <f t="shared" si="24"/>
        <v>UPDATE [MAP].[T_TRANS_VENDOR] SET NEW_VENDOR_ID = 'V0509' WHERE LEGACY_VENDOR_ID = 'LIGCHINE' AND DATA_FOLDER_ID = 'sampl'</v>
      </c>
      <c r="F501" t="str">
        <f t="shared" si="25"/>
        <v>Changed</v>
      </c>
      <c r="G501" t="str">
        <f t="shared" si="26"/>
        <v>-</v>
      </c>
    </row>
    <row r="502" spans="1:7" x14ac:dyDescent="0.25">
      <c r="A502" s="2" t="s">
        <v>1</v>
      </c>
      <c r="B502" s="9" t="s">
        <v>539</v>
      </c>
      <c r="C502" t="s">
        <v>1541</v>
      </c>
      <c r="D502" s="5" t="s">
        <v>2539</v>
      </c>
      <c r="E502" t="str">
        <f t="shared" si="24"/>
        <v>UPDATE [MAP].[T_TRANS_VENDOR] SET NEW_VENDOR_ID = 'V0510' WHERE LEGACY_VENDOR_ID = 'LITTLEWA' AND DATA_FOLDER_ID = 'sampl'</v>
      </c>
      <c r="F502" t="str">
        <f t="shared" si="25"/>
        <v>Changed</v>
      </c>
      <c r="G502" t="str">
        <f t="shared" si="26"/>
        <v>-</v>
      </c>
    </row>
    <row r="503" spans="1:7" x14ac:dyDescent="0.25">
      <c r="A503" s="2" t="s">
        <v>1</v>
      </c>
      <c r="B503" s="9" t="s">
        <v>540</v>
      </c>
      <c r="C503" t="s">
        <v>1542</v>
      </c>
      <c r="D503" s="5" t="s">
        <v>2540</v>
      </c>
      <c r="E503" t="str">
        <f t="shared" si="24"/>
        <v>UPDATE [MAP].[T_TRANS_VENDOR] SET NEW_VENDOR_ID = 'V0511' WHERE LEGACY_VENDOR_ID = 'LIVENGOOD' AND DATA_FOLDER_ID = 'sampl'</v>
      </c>
      <c r="F503" t="str">
        <f t="shared" si="25"/>
        <v>Changed</v>
      </c>
      <c r="G503" t="str">
        <f t="shared" si="26"/>
        <v>-</v>
      </c>
    </row>
    <row r="504" spans="1:7" x14ac:dyDescent="0.25">
      <c r="A504" s="2" t="s">
        <v>1</v>
      </c>
      <c r="B504" s="9" t="s">
        <v>541</v>
      </c>
      <c r="C504" t="s">
        <v>1543</v>
      </c>
      <c r="D504" s="5" t="s">
        <v>2541</v>
      </c>
      <c r="E504" t="str">
        <f t="shared" si="24"/>
        <v>UPDATE [MAP].[T_TRANS_VENDOR] SET NEW_VENDOR_ID = 'V0512' WHERE LEGACY_VENDOR_ID = 'LONGSWEL' AND DATA_FOLDER_ID = 'sampl'</v>
      </c>
      <c r="F504" t="str">
        <f t="shared" si="25"/>
        <v>Changed</v>
      </c>
      <c r="G504" t="str">
        <f t="shared" si="26"/>
        <v>-</v>
      </c>
    </row>
    <row r="505" spans="1:7" x14ac:dyDescent="0.25">
      <c r="A505" s="2" t="s">
        <v>1</v>
      </c>
      <c r="B505" s="9" t="s">
        <v>542</v>
      </c>
      <c r="C505" t="s">
        <v>1544</v>
      </c>
      <c r="D505" s="5" t="s">
        <v>2542</v>
      </c>
      <c r="E505" t="str">
        <f t="shared" si="24"/>
        <v>UPDATE [MAP].[T_TRANS_VENDOR] SET NEW_VENDOR_ID = 'V0513' WHERE LEGACY_VENDOR_ID = 'LORTONST' AND DATA_FOLDER_ID = 'sampl'</v>
      </c>
      <c r="F505" t="str">
        <f t="shared" si="25"/>
        <v>Changed</v>
      </c>
      <c r="G505" t="str">
        <f t="shared" si="26"/>
        <v>-</v>
      </c>
    </row>
    <row r="506" spans="1:7" x14ac:dyDescent="0.25">
      <c r="A506" s="2" t="s">
        <v>1</v>
      </c>
      <c r="B506" s="9" t="s">
        <v>543</v>
      </c>
      <c r="C506" t="s">
        <v>1545</v>
      </c>
      <c r="D506" s="5" t="s">
        <v>2543</v>
      </c>
      <c r="E506" t="str">
        <f t="shared" si="24"/>
        <v>UPDATE [MAP].[T_TRANS_VENDOR] SET NEW_VENDOR_ID = 'V0514' WHERE LEGACY_VENDOR_ID = 'LPSINC00' AND DATA_FOLDER_ID = 'sampl'</v>
      </c>
      <c r="F506" t="str">
        <f t="shared" si="25"/>
        <v>Changed</v>
      </c>
      <c r="G506" t="str">
        <f t="shared" si="26"/>
        <v>-</v>
      </c>
    </row>
    <row r="507" spans="1:7" x14ac:dyDescent="0.25">
      <c r="A507" s="2" t="s">
        <v>1</v>
      </c>
      <c r="B507" s="9" t="s">
        <v>544</v>
      </c>
      <c r="C507" t="s">
        <v>1546</v>
      </c>
      <c r="D507" s="5" t="s">
        <v>2544</v>
      </c>
      <c r="E507" t="str">
        <f t="shared" si="24"/>
        <v>UPDATE [MAP].[T_TRANS_VENDOR] SET NEW_VENDOR_ID = 'V0515' WHERE LEGACY_VENDOR_ID = 'LRCOSTANZO' AND DATA_FOLDER_ID = 'sampl'</v>
      </c>
      <c r="F507" t="str">
        <f t="shared" si="25"/>
        <v>Changed</v>
      </c>
      <c r="G507" t="str">
        <f t="shared" si="26"/>
        <v>-</v>
      </c>
    </row>
    <row r="508" spans="1:7" x14ac:dyDescent="0.25">
      <c r="A508" s="2" t="s">
        <v>1</v>
      </c>
      <c r="B508" s="9" t="s">
        <v>545</v>
      </c>
      <c r="C508" t="s">
        <v>1547</v>
      </c>
      <c r="D508" s="5" t="s">
        <v>2545</v>
      </c>
      <c r="E508" t="str">
        <f t="shared" si="24"/>
        <v>UPDATE [MAP].[T_TRANS_VENDOR] SET NEW_VENDOR_ID = 'V0516' WHERE LEGACY_VENDOR_ID = 'LUDOWICI' AND DATA_FOLDER_ID = 'sampl'</v>
      </c>
      <c r="F508" t="str">
        <f t="shared" si="25"/>
        <v>Changed</v>
      </c>
      <c r="G508" t="str">
        <f t="shared" si="26"/>
        <v>-</v>
      </c>
    </row>
    <row r="509" spans="1:7" x14ac:dyDescent="0.25">
      <c r="A509" s="2" t="s">
        <v>1</v>
      </c>
      <c r="B509" s="9" t="s">
        <v>546</v>
      </c>
      <c r="C509" t="s">
        <v>1548</v>
      </c>
      <c r="D509" s="5" t="s">
        <v>2546</v>
      </c>
      <c r="E509" t="str">
        <f t="shared" si="24"/>
        <v>UPDATE [MAP].[T_TRANS_VENDOR] SET NEW_VENDOR_ID = 'V0517' WHERE LEGACY_VENDOR_ID = 'LVINDUSTRI' AND DATA_FOLDER_ID = 'sampl'</v>
      </c>
      <c r="F509" t="str">
        <f t="shared" si="25"/>
        <v>Changed</v>
      </c>
      <c r="G509" t="str">
        <f t="shared" si="26"/>
        <v>-</v>
      </c>
    </row>
    <row r="510" spans="1:7" x14ac:dyDescent="0.25">
      <c r="A510" s="2" t="s">
        <v>1</v>
      </c>
      <c r="B510" s="9" t="s">
        <v>547</v>
      </c>
      <c r="C510" t="s">
        <v>1549</v>
      </c>
      <c r="D510" s="5" t="s">
        <v>2547</v>
      </c>
      <c r="E510" t="str">
        <f t="shared" si="24"/>
        <v>UPDATE [MAP].[T_TRANS_VENDOR] SET NEW_VENDOR_ID = 'V0518' WHERE LEGACY_VENDOR_ID = 'LVPGPOCO' AND DATA_FOLDER_ID = 'sampl'</v>
      </c>
      <c r="F510" t="str">
        <f t="shared" si="25"/>
        <v>Changed</v>
      </c>
      <c r="G510" t="str">
        <f t="shared" si="26"/>
        <v>-</v>
      </c>
    </row>
    <row r="511" spans="1:7" x14ac:dyDescent="0.25">
      <c r="A511" s="2" t="s">
        <v>1</v>
      </c>
      <c r="B511" s="9" t="s">
        <v>548</v>
      </c>
      <c r="C511" t="s">
        <v>1550</v>
      </c>
      <c r="D511" s="5" t="s">
        <v>2548</v>
      </c>
      <c r="E511" t="str">
        <f t="shared" si="24"/>
        <v>UPDATE [MAP].[T_TRANS_VENDOR] SET NEW_VENDOR_ID = 'V0519' WHERE LEGACY_VENDOR_ID = 'LYONS' AND DATA_FOLDER_ID = 'sampl'</v>
      </c>
      <c r="F511" t="str">
        <f t="shared" si="25"/>
        <v>Changed</v>
      </c>
      <c r="G511" t="str">
        <f t="shared" si="26"/>
        <v>-</v>
      </c>
    </row>
    <row r="512" spans="1:7" x14ac:dyDescent="0.25">
      <c r="A512" s="2" t="s">
        <v>1</v>
      </c>
      <c r="B512" s="9" t="s">
        <v>549</v>
      </c>
      <c r="C512" t="s">
        <v>1551</v>
      </c>
      <c r="D512" s="5" t="s">
        <v>2549</v>
      </c>
      <c r="E512" t="str">
        <f t="shared" si="24"/>
        <v>UPDATE [MAP].[T_TRANS_VENDOR] SET NEW_VENDOR_ID = 'V0520' WHERE LEGACY_VENDOR_ID = 'MABRAHAM' AND DATA_FOLDER_ID = 'sampl'</v>
      </c>
      <c r="F512" t="str">
        <f t="shared" si="25"/>
        <v>Changed</v>
      </c>
      <c r="G512" t="str">
        <f t="shared" si="26"/>
        <v>-</v>
      </c>
    </row>
    <row r="513" spans="1:7" x14ac:dyDescent="0.25">
      <c r="A513" s="2" t="s">
        <v>1</v>
      </c>
      <c r="B513" s="9" t="s">
        <v>550</v>
      </c>
      <c r="C513" t="s">
        <v>1552</v>
      </c>
      <c r="D513" s="5" t="s">
        <v>2550</v>
      </c>
      <c r="E513" t="str">
        <f t="shared" si="24"/>
        <v>UPDATE [MAP].[T_TRANS_VENDOR] SET NEW_VENDOR_ID = 'V0521' WHERE LEGACY_VENDOR_ID = 'MACSIGNS' AND DATA_FOLDER_ID = 'sampl'</v>
      </c>
      <c r="F513" t="str">
        <f t="shared" si="25"/>
        <v>Changed</v>
      </c>
      <c r="G513" t="str">
        <f t="shared" si="26"/>
        <v>-</v>
      </c>
    </row>
    <row r="514" spans="1:7" x14ac:dyDescent="0.25">
      <c r="A514" s="2" t="s">
        <v>1</v>
      </c>
      <c r="B514" s="9" t="s">
        <v>551</v>
      </c>
      <c r="C514" t="s">
        <v>1553</v>
      </c>
      <c r="D514" s="5" t="s">
        <v>2551</v>
      </c>
      <c r="E514" t="str">
        <f t="shared" si="24"/>
        <v>UPDATE [MAP].[T_TRANS_VENDOR] SET NEW_VENDOR_ID = 'V0522' WHERE LEGACY_VENDOR_ID = 'MANUFACT' AND DATA_FOLDER_ID = 'sampl'</v>
      </c>
      <c r="F514" t="str">
        <f t="shared" si="25"/>
        <v>Changed</v>
      </c>
      <c r="G514" t="str">
        <f t="shared" si="26"/>
        <v>-</v>
      </c>
    </row>
    <row r="515" spans="1:7" x14ac:dyDescent="0.25">
      <c r="A515" s="2" t="s">
        <v>1</v>
      </c>
      <c r="B515" s="9" t="s">
        <v>552</v>
      </c>
      <c r="C515" t="s">
        <v>1554</v>
      </c>
      <c r="D515" s="5" t="s">
        <v>2552</v>
      </c>
      <c r="E515" t="str">
        <f t="shared" si="24"/>
        <v>UPDATE [MAP].[T_TRANS_VENDOR] SET NEW_VENDOR_ID = 'V0523' WHERE LEGACY_VENDOR_ID = 'MARAIRON' AND DATA_FOLDER_ID = 'sampl'</v>
      </c>
      <c r="F515" t="str">
        <f t="shared" si="25"/>
        <v>Changed</v>
      </c>
      <c r="G515" t="str">
        <f t="shared" si="26"/>
        <v>-</v>
      </c>
    </row>
    <row r="516" spans="1:7" x14ac:dyDescent="0.25">
      <c r="A516" s="2" t="s">
        <v>1</v>
      </c>
      <c r="B516" s="9" t="s">
        <v>553</v>
      </c>
      <c r="C516" t="s">
        <v>1555</v>
      </c>
      <c r="D516" s="5" t="s">
        <v>2553</v>
      </c>
      <c r="E516" t="str">
        <f t="shared" si="24"/>
        <v>UPDATE [MAP].[T_TRANS_VENDOR] SET NEW_VENDOR_ID = 'V0524' WHERE LEGACY_VENDOR_ID = 'MARBLELI' AND DATA_FOLDER_ID = 'sampl'</v>
      </c>
      <c r="F516" t="str">
        <f t="shared" si="25"/>
        <v>Changed</v>
      </c>
      <c r="G516" t="str">
        <f t="shared" si="26"/>
        <v>-</v>
      </c>
    </row>
    <row r="517" spans="1:7" x14ac:dyDescent="0.25">
      <c r="A517" s="2" t="s">
        <v>1</v>
      </c>
      <c r="B517" s="9" t="s">
        <v>554</v>
      </c>
      <c r="C517" t="s">
        <v>1556</v>
      </c>
      <c r="D517" s="5" t="s">
        <v>2554</v>
      </c>
      <c r="E517" t="str">
        <f t="shared" si="24"/>
        <v>UPDATE [MAP].[T_TRANS_VENDOR] SET NEW_VENDOR_ID = 'V0525' WHERE LEGACY_VENDOR_ID = 'MARCBOWE' AND DATA_FOLDER_ID = 'sampl'</v>
      </c>
      <c r="F517" t="str">
        <f t="shared" si="25"/>
        <v>Changed</v>
      </c>
      <c r="G517" t="str">
        <f t="shared" si="26"/>
        <v>-</v>
      </c>
    </row>
    <row r="518" spans="1:7" x14ac:dyDescent="0.25">
      <c r="A518" s="2" t="s">
        <v>1</v>
      </c>
      <c r="B518" s="9" t="s">
        <v>555</v>
      </c>
      <c r="C518" t="s">
        <v>1557</v>
      </c>
      <c r="D518" s="5" t="s">
        <v>2555</v>
      </c>
      <c r="E518" t="str">
        <f t="shared" si="24"/>
        <v>UPDATE [MAP].[T_TRANS_VENDOR] SET NEW_VENDOR_ID = 'V0526' WHERE LEGACY_VENDOR_ID = 'MARIOTTI' AND DATA_FOLDER_ID = 'sampl'</v>
      </c>
      <c r="F518" t="str">
        <f t="shared" si="25"/>
        <v>Changed</v>
      </c>
      <c r="G518" t="str">
        <f t="shared" si="26"/>
        <v>-</v>
      </c>
    </row>
    <row r="519" spans="1:7" x14ac:dyDescent="0.25">
      <c r="A519" s="2" t="s">
        <v>1</v>
      </c>
      <c r="B519" s="9" t="s">
        <v>556</v>
      </c>
      <c r="C519" t="s">
        <v>1558</v>
      </c>
      <c r="D519" s="5" t="s">
        <v>2556</v>
      </c>
      <c r="E519" t="str">
        <f t="shared" si="24"/>
        <v>UPDATE [MAP].[T_TRANS_VENDOR] SET NEW_VENDOR_ID = 'V0527' WHERE LEGACY_VENDOR_ID = 'MARKWHIT' AND DATA_FOLDER_ID = 'sampl'</v>
      </c>
      <c r="F519" t="str">
        <f t="shared" si="25"/>
        <v>Changed</v>
      </c>
      <c r="G519" t="str">
        <f t="shared" si="26"/>
        <v>-</v>
      </c>
    </row>
    <row r="520" spans="1:7" x14ac:dyDescent="0.25">
      <c r="A520" s="2" t="s">
        <v>1</v>
      </c>
      <c r="B520" s="9" t="s">
        <v>557</v>
      </c>
      <c r="C520" t="s">
        <v>1559</v>
      </c>
      <c r="D520" s="5" t="s">
        <v>2557</v>
      </c>
      <c r="E520" t="str">
        <f t="shared" si="24"/>
        <v>UPDATE [MAP].[T_TRANS_VENDOR] SET NEW_VENDOR_ID = 'V0528' WHERE LEGACY_VENDOR_ID = 'MARLINBU' AND DATA_FOLDER_ID = 'sampl'</v>
      </c>
      <c r="F520" t="str">
        <f t="shared" si="25"/>
        <v>Changed</v>
      </c>
      <c r="G520" t="str">
        <f t="shared" si="26"/>
        <v>-</v>
      </c>
    </row>
    <row r="521" spans="1:7" x14ac:dyDescent="0.25">
      <c r="A521" s="2" t="s">
        <v>1</v>
      </c>
      <c r="B521" s="9" t="s">
        <v>558</v>
      </c>
      <c r="C521" t="s">
        <v>1560</v>
      </c>
      <c r="D521" s="5" t="s">
        <v>2558</v>
      </c>
      <c r="E521" t="str">
        <f t="shared" si="24"/>
        <v>UPDATE [MAP].[T_TRANS_VENDOR] SET NEW_VENDOR_ID = 'V0529' WHERE LEGACY_VENDOR_ID = 'MARPAULI' AND DATA_FOLDER_ID = 'sampl'</v>
      </c>
      <c r="F521" t="str">
        <f t="shared" si="25"/>
        <v>Changed</v>
      </c>
      <c r="G521" t="str">
        <f t="shared" si="26"/>
        <v>-</v>
      </c>
    </row>
    <row r="522" spans="1:7" x14ac:dyDescent="0.25">
      <c r="A522" s="2" t="s">
        <v>1</v>
      </c>
      <c r="B522" s="9" t="s">
        <v>559</v>
      </c>
      <c r="C522" t="s">
        <v>1561</v>
      </c>
      <c r="D522" s="5" t="s">
        <v>2559</v>
      </c>
      <c r="E522" t="str">
        <f t="shared" si="24"/>
        <v>UPDATE [MAP].[T_TRANS_VENDOR] SET NEW_VENDOR_ID = 'V0530' WHERE LEGACY_VENDOR_ID = 'MARRDEVE' AND DATA_FOLDER_ID = 'sampl'</v>
      </c>
      <c r="F522" t="str">
        <f t="shared" si="25"/>
        <v>Changed</v>
      </c>
      <c r="G522" t="str">
        <f t="shared" si="26"/>
        <v>-</v>
      </c>
    </row>
    <row r="523" spans="1:7" x14ac:dyDescent="0.25">
      <c r="A523" s="2" t="s">
        <v>1</v>
      </c>
      <c r="B523" s="9" t="s">
        <v>560</v>
      </c>
      <c r="C523" t="s">
        <v>1562</v>
      </c>
      <c r="D523" s="5" t="s">
        <v>2560</v>
      </c>
      <c r="E523" t="str">
        <f t="shared" si="24"/>
        <v>UPDATE [MAP].[T_TRANS_VENDOR] SET NEW_VENDOR_ID = 'V0531' WHERE LEGACY_VENDOR_ID = 'MARSHALL' AND DATA_FOLDER_ID = 'sampl'</v>
      </c>
      <c r="F523" t="str">
        <f t="shared" si="25"/>
        <v>Changed</v>
      </c>
      <c r="G523" t="str">
        <f t="shared" si="26"/>
        <v>-</v>
      </c>
    </row>
    <row r="524" spans="1:7" x14ac:dyDescent="0.25">
      <c r="A524" s="2" t="s">
        <v>1</v>
      </c>
      <c r="B524" s="9" t="s">
        <v>561</v>
      </c>
      <c r="C524" t="s">
        <v>1563</v>
      </c>
      <c r="D524" s="5" t="s">
        <v>2561</v>
      </c>
      <c r="E524" t="str">
        <f t="shared" si="24"/>
        <v>UPDATE [MAP].[T_TRANS_VENDOR] SET NEW_VENDOR_ID = 'V0532' WHERE LEGACY_VENDOR_ID = 'MARTINBA' AND DATA_FOLDER_ID = 'sampl'</v>
      </c>
      <c r="F524" t="str">
        <f t="shared" si="25"/>
        <v>Changed</v>
      </c>
      <c r="G524" t="str">
        <f t="shared" si="26"/>
        <v>-</v>
      </c>
    </row>
    <row r="525" spans="1:7" x14ac:dyDescent="0.25">
      <c r="A525" s="2" t="s">
        <v>1</v>
      </c>
      <c r="B525" s="9" t="s">
        <v>562</v>
      </c>
      <c r="C525" t="s">
        <v>1564</v>
      </c>
      <c r="D525" s="5" t="s">
        <v>2562</v>
      </c>
      <c r="E525" t="str">
        <f t="shared" si="24"/>
        <v>UPDATE [MAP].[T_TRANS_VENDOR] SET NEW_VENDOR_ID = 'V0533' WHERE LEGACY_VENDOR_ID = 'MARTINRO' AND DATA_FOLDER_ID = 'sampl'</v>
      </c>
      <c r="F525" t="str">
        <f t="shared" si="25"/>
        <v>Changed</v>
      </c>
      <c r="G525" t="str">
        <f t="shared" si="26"/>
        <v>-</v>
      </c>
    </row>
    <row r="526" spans="1:7" x14ac:dyDescent="0.25">
      <c r="A526" s="2" t="s">
        <v>1</v>
      </c>
      <c r="B526" s="9" t="s">
        <v>563</v>
      </c>
      <c r="C526" t="s">
        <v>1565</v>
      </c>
      <c r="D526" s="5" t="s">
        <v>2563</v>
      </c>
      <c r="E526" t="str">
        <f t="shared" si="24"/>
        <v>UPDATE [MAP].[T_TRANS_VENDOR] SET NEW_VENDOR_ID = 'V0534' WHERE LEGACY_VENDOR_ID = 'MARXHVAC' AND DATA_FOLDER_ID = 'sampl'</v>
      </c>
      <c r="F526" t="str">
        <f t="shared" si="25"/>
        <v>Changed</v>
      </c>
      <c r="G526" t="str">
        <f t="shared" si="26"/>
        <v>-</v>
      </c>
    </row>
    <row r="527" spans="1:7" x14ac:dyDescent="0.25">
      <c r="A527" s="2" t="s">
        <v>1</v>
      </c>
      <c r="B527" s="9" t="s">
        <v>564</v>
      </c>
      <c r="C527" t="s">
        <v>1566</v>
      </c>
      <c r="D527" s="5" t="s">
        <v>2564</v>
      </c>
      <c r="E527" t="str">
        <f t="shared" ref="E527:E590" si="27">"UPDATE "&amp;$E$3&amp;" SET NEW_VENDOR_ID = '"&amp;D527&amp;"' WHERE LEGACY_VENDOR_ID = '"&amp;B527&amp;"' AND DATA_FOLDER_ID = '"&amp;$A527&amp;"'"</f>
        <v>UPDATE [MAP].[T_TRANS_VENDOR] SET NEW_VENDOR_ID = 'V0535' WHERE LEGACY_VENDOR_ID = 'MARYLAND' AND DATA_FOLDER_ID = 'sampl'</v>
      </c>
      <c r="F527" t="str">
        <f t="shared" ref="F527:F590" si="28">IF(B527&lt;&gt;D527,"Changed","-")</f>
        <v>Changed</v>
      </c>
      <c r="G527" t="str">
        <f t="shared" ref="G527:G590" si="29">IF(B527="","Hide","-")</f>
        <v>-</v>
      </c>
    </row>
    <row r="528" spans="1:7" x14ac:dyDescent="0.25">
      <c r="A528" s="2" t="s">
        <v>1</v>
      </c>
      <c r="B528" s="9" t="s">
        <v>565</v>
      </c>
      <c r="C528" t="s">
        <v>1567</v>
      </c>
      <c r="D528" s="5" t="s">
        <v>2565</v>
      </c>
      <c r="E528" t="str">
        <f t="shared" si="27"/>
        <v>UPDATE [MAP].[T_TRANS_VENDOR] SET NEW_VENDOR_ID = 'V0536' WHERE LEGACY_VENDOR_ID = 'MASTCONC' AND DATA_FOLDER_ID = 'sampl'</v>
      </c>
      <c r="F528" t="str">
        <f t="shared" si="28"/>
        <v>Changed</v>
      </c>
      <c r="G528" t="str">
        <f t="shared" si="29"/>
        <v>-</v>
      </c>
    </row>
    <row r="529" spans="1:7" x14ac:dyDescent="0.25">
      <c r="A529" s="2" t="s">
        <v>1</v>
      </c>
      <c r="B529" s="9" t="s">
        <v>566</v>
      </c>
      <c r="C529" t="s">
        <v>1568</v>
      </c>
      <c r="D529" s="5" t="s">
        <v>2566</v>
      </c>
      <c r="E529" t="str">
        <f t="shared" si="27"/>
        <v>UPDATE [MAP].[T_TRANS_VENDOR] SET NEW_VENDOR_ID = 'V0537' WHERE LEGACY_VENDOR_ID = 'MASTERSR' AND DATA_FOLDER_ID = 'sampl'</v>
      </c>
      <c r="F529" t="str">
        <f t="shared" si="28"/>
        <v>Changed</v>
      </c>
      <c r="G529" t="str">
        <f t="shared" si="29"/>
        <v>-</v>
      </c>
    </row>
    <row r="530" spans="1:7" x14ac:dyDescent="0.25">
      <c r="A530" s="2" t="s">
        <v>1</v>
      </c>
      <c r="B530" s="9" t="s">
        <v>567</v>
      </c>
      <c r="C530" t="s">
        <v>1569</v>
      </c>
      <c r="D530" s="5" t="s">
        <v>2567</v>
      </c>
      <c r="E530" t="str">
        <f t="shared" si="27"/>
        <v>UPDATE [MAP].[T_TRANS_VENDOR] SET NEW_VENDOR_ID = 'V0538' WHERE LEGACY_VENDOR_ID = 'MASTTRAN' AND DATA_FOLDER_ID = 'sampl'</v>
      </c>
      <c r="F530" t="str">
        <f t="shared" si="28"/>
        <v>Changed</v>
      </c>
      <c r="G530" t="str">
        <f t="shared" si="29"/>
        <v>-</v>
      </c>
    </row>
    <row r="531" spans="1:7" x14ac:dyDescent="0.25">
      <c r="A531" s="2" t="s">
        <v>1</v>
      </c>
      <c r="B531" s="9" t="s">
        <v>568</v>
      </c>
      <c r="C531" t="s">
        <v>1570</v>
      </c>
      <c r="D531" s="5" t="s">
        <v>2568</v>
      </c>
      <c r="E531" t="str">
        <f t="shared" si="27"/>
        <v>UPDATE [MAP].[T_TRANS_VENDOR] SET NEW_VENDOR_ID = 'V0540' WHERE LEGACY_VENDOR_ID = 'MAVRIKINC' AND DATA_FOLDER_ID = 'sampl'</v>
      </c>
      <c r="F531" t="str">
        <f t="shared" si="28"/>
        <v>Changed</v>
      </c>
      <c r="G531" t="str">
        <f t="shared" si="29"/>
        <v>-</v>
      </c>
    </row>
    <row r="532" spans="1:7" x14ac:dyDescent="0.25">
      <c r="A532" s="2" t="s">
        <v>1</v>
      </c>
      <c r="B532" s="9" t="s">
        <v>569</v>
      </c>
      <c r="C532" t="s">
        <v>1571</v>
      </c>
      <c r="D532" s="5" t="s">
        <v>2569</v>
      </c>
      <c r="E532" t="str">
        <f t="shared" si="27"/>
        <v>UPDATE [MAP].[T_TRANS_VENDOR] SET NEW_VENDOR_ID = 'V0541' WHERE LEGACY_VENDOR_ID = 'MBCI0000' AND DATA_FOLDER_ID = 'sampl'</v>
      </c>
      <c r="F532" t="str">
        <f t="shared" si="28"/>
        <v>Changed</v>
      </c>
      <c r="G532" t="str">
        <f t="shared" si="29"/>
        <v>-</v>
      </c>
    </row>
    <row r="533" spans="1:7" x14ac:dyDescent="0.25">
      <c r="A533" s="2" t="s">
        <v>1</v>
      </c>
      <c r="B533" s="9" t="s">
        <v>570</v>
      </c>
      <c r="C533" t="s">
        <v>1572</v>
      </c>
      <c r="D533" s="5" t="s">
        <v>2570</v>
      </c>
      <c r="E533" t="str">
        <f t="shared" si="27"/>
        <v>UPDATE [MAP].[T_TRANS_VENDOR] SET NEW_VENDOR_ID = 'V0542' WHERE LEGACY_VENDOR_ID = 'MCCARTHY' AND DATA_FOLDER_ID = 'sampl'</v>
      </c>
      <c r="F533" t="str">
        <f t="shared" si="28"/>
        <v>Changed</v>
      </c>
      <c r="G533" t="str">
        <f t="shared" si="29"/>
        <v>-</v>
      </c>
    </row>
    <row r="534" spans="1:7" x14ac:dyDescent="0.25">
      <c r="A534" s="2" t="s">
        <v>1</v>
      </c>
      <c r="B534" s="9" t="s">
        <v>571</v>
      </c>
      <c r="C534" t="s">
        <v>1573</v>
      </c>
      <c r="D534" s="5" t="s">
        <v>2571</v>
      </c>
      <c r="E534" t="str">
        <f t="shared" si="27"/>
        <v>UPDATE [MAP].[T_TRANS_VENDOR] SET NEW_VENDOR_ID = 'V0543' WHERE LEGACY_VENDOR_ID = 'MCCARTHY&amp;' AND DATA_FOLDER_ID = 'sampl'</v>
      </c>
      <c r="F534" t="str">
        <f t="shared" si="28"/>
        <v>Changed</v>
      </c>
      <c r="G534" t="str">
        <f t="shared" si="29"/>
        <v>-</v>
      </c>
    </row>
    <row r="535" spans="1:7" x14ac:dyDescent="0.25">
      <c r="A535" s="2" t="s">
        <v>1</v>
      </c>
      <c r="B535" s="9" t="s">
        <v>572</v>
      </c>
      <c r="C535" t="s">
        <v>1574</v>
      </c>
      <c r="D535" s="5" t="s">
        <v>2572</v>
      </c>
      <c r="E535" t="str">
        <f t="shared" si="27"/>
        <v>UPDATE [MAP].[T_TRANS_VENDOR] SET NEW_VENDOR_ID = 'V0544' WHERE LEGACY_VENDOR_ID = 'MCDALCORP' AND DATA_FOLDER_ID = 'sampl'</v>
      </c>
      <c r="F535" t="str">
        <f t="shared" si="28"/>
        <v>Changed</v>
      </c>
      <c r="G535" t="str">
        <f t="shared" si="29"/>
        <v>-</v>
      </c>
    </row>
    <row r="536" spans="1:7" x14ac:dyDescent="0.25">
      <c r="A536" s="2" t="s">
        <v>1</v>
      </c>
      <c r="B536" s="9" t="s">
        <v>573</v>
      </c>
      <c r="C536" t="s">
        <v>1575</v>
      </c>
      <c r="D536" s="5" t="s">
        <v>2573</v>
      </c>
      <c r="E536" t="str">
        <f t="shared" si="27"/>
        <v>UPDATE [MAP].[T_TRANS_VENDOR] SET NEW_VENDOR_ID = 'V0545' WHERE LEGACY_VENDOR_ID = 'MCDONALD' AND DATA_FOLDER_ID = 'sampl'</v>
      </c>
      <c r="F536" t="str">
        <f t="shared" si="28"/>
        <v>Changed</v>
      </c>
      <c r="G536" t="str">
        <f t="shared" si="29"/>
        <v>-</v>
      </c>
    </row>
    <row r="537" spans="1:7" x14ac:dyDescent="0.25">
      <c r="A537" s="2" t="s">
        <v>1</v>
      </c>
      <c r="B537" s="9" t="s">
        <v>574</v>
      </c>
      <c r="C537" t="s">
        <v>1576</v>
      </c>
      <c r="D537" s="5" t="s">
        <v>2574</v>
      </c>
      <c r="E537" t="str">
        <f t="shared" si="27"/>
        <v>UPDATE [MAP].[T_TRANS_VENDOR] SET NEW_VENDOR_ID = 'V0546' WHERE LEGACY_VENDOR_ID = 'MCFIREPRO' AND DATA_FOLDER_ID = 'sampl'</v>
      </c>
      <c r="F537" t="str">
        <f t="shared" si="28"/>
        <v>Changed</v>
      </c>
      <c r="G537" t="str">
        <f t="shared" si="29"/>
        <v>-</v>
      </c>
    </row>
    <row r="538" spans="1:7" x14ac:dyDescent="0.25">
      <c r="A538" s="2" t="s">
        <v>1</v>
      </c>
      <c r="B538" s="9" t="s">
        <v>575</v>
      </c>
      <c r="C538" t="s">
        <v>1577</v>
      </c>
      <c r="D538" s="5" t="s">
        <v>2575</v>
      </c>
      <c r="E538" t="str">
        <f t="shared" si="27"/>
        <v>UPDATE [MAP].[T_TRANS_VENDOR] SET NEW_VENDOR_ID = 'V0547' WHERE LEGACY_VENDOR_ID = 'MCGREGOR' AND DATA_FOLDER_ID = 'sampl'</v>
      </c>
      <c r="F538" t="str">
        <f t="shared" si="28"/>
        <v>Changed</v>
      </c>
      <c r="G538" t="str">
        <f t="shared" si="29"/>
        <v>-</v>
      </c>
    </row>
    <row r="539" spans="1:7" x14ac:dyDescent="0.25">
      <c r="A539" s="2" t="s">
        <v>1</v>
      </c>
      <c r="B539" s="9" t="s">
        <v>576</v>
      </c>
      <c r="C539" t="s">
        <v>1578</v>
      </c>
      <c r="D539" s="5" t="s">
        <v>2576</v>
      </c>
      <c r="E539" t="str">
        <f t="shared" si="27"/>
        <v>UPDATE [MAP].[T_TRANS_VENDOR] SET NEW_VENDOR_ID = 'V0548' WHERE LEGACY_VENDOR_ID = 'MCLARENE' AND DATA_FOLDER_ID = 'sampl'</v>
      </c>
      <c r="F539" t="str">
        <f t="shared" si="28"/>
        <v>Changed</v>
      </c>
      <c r="G539" t="str">
        <f t="shared" si="29"/>
        <v>-</v>
      </c>
    </row>
    <row r="540" spans="1:7" x14ac:dyDescent="0.25">
      <c r="A540" s="2" t="s">
        <v>1</v>
      </c>
      <c r="B540" s="9" t="s">
        <v>577</v>
      </c>
      <c r="C540" t="s">
        <v>1579</v>
      </c>
      <c r="D540" s="5" t="s">
        <v>2577</v>
      </c>
      <c r="E540" t="str">
        <f t="shared" si="27"/>
        <v>UPDATE [MAP].[T_TRANS_VENDOR] SET NEW_VENDOR_ID = 'V0549' WHERE LEGACY_VENDOR_ID = 'MCMASTER' AND DATA_FOLDER_ID = 'sampl'</v>
      </c>
      <c r="F540" t="str">
        <f t="shared" si="28"/>
        <v>Changed</v>
      </c>
      <c r="G540" t="str">
        <f t="shared" si="29"/>
        <v>-</v>
      </c>
    </row>
    <row r="541" spans="1:7" x14ac:dyDescent="0.25">
      <c r="A541" s="2" t="s">
        <v>1</v>
      </c>
      <c r="B541" s="9" t="s">
        <v>578</v>
      </c>
      <c r="C541" t="s">
        <v>1580</v>
      </c>
      <c r="D541" s="5" t="s">
        <v>2578</v>
      </c>
      <c r="E541" t="str">
        <f t="shared" si="27"/>
        <v>UPDATE [MAP].[T_TRANS_VENDOR] SET NEW_VENDOR_ID = 'V0550' WHERE LEGACY_VENDOR_ID = 'MDCSYSTE' AND DATA_FOLDER_ID = 'sampl'</v>
      </c>
      <c r="F541" t="str">
        <f t="shared" si="28"/>
        <v>Changed</v>
      </c>
      <c r="G541" t="str">
        <f t="shared" si="29"/>
        <v>-</v>
      </c>
    </row>
    <row r="542" spans="1:7" x14ac:dyDescent="0.25">
      <c r="A542" s="2" t="s">
        <v>1</v>
      </c>
      <c r="B542" s="9" t="s">
        <v>579</v>
      </c>
      <c r="C542" t="s">
        <v>1581</v>
      </c>
      <c r="D542" s="5" t="s">
        <v>2579</v>
      </c>
      <c r="E542" t="str">
        <f t="shared" si="27"/>
        <v>UPDATE [MAP].[T_TRANS_VENDOR] SET NEW_VENDOR_ID = 'V0551' WHERE LEGACY_VENDOR_ID = 'MDSTEEL' AND DATA_FOLDER_ID = 'sampl'</v>
      </c>
      <c r="F542" t="str">
        <f t="shared" si="28"/>
        <v>Changed</v>
      </c>
      <c r="G542" t="str">
        <f t="shared" si="29"/>
        <v>-</v>
      </c>
    </row>
    <row r="543" spans="1:7" x14ac:dyDescent="0.25">
      <c r="A543" s="2" t="s">
        <v>1</v>
      </c>
      <c r="B543" s="9" t="s">
        <v>580</v>
      </c>
      <c r="C543" t="s">
        <v>1582</v>
      </c>
      <c r="D543" s="5" t="s">
        <v>2580</v>
      </c>
      <c r="E543" t="str">
        <f t="shared" si="27"/>
        <v>UPDATE [MAP].[T_TRANS_VENDOR] SET NEW_VENDOR_ID = 'V0552' WHERE LEGACY_VENDOR_ID = 'MEDEXPA' AND DATA_FOLDER_ID = 'sampl'</v>
      </c>
      <c r="F543" t="str">
        <f t="shared" si="28"/>
        <v>Changed</v>
      </c>
      <c r="G543" t="str">
        <f t="shared" si="29"/>
        <v>-</v>
      </c>
    </row>
    <row r="544" spans="1:7" x14ac:dyDescent="0.25">
      <c r="A544" s="2" t="s">
        <v>1</v>
      </c>
      <c r="B544" s="9" t="s">
        <v>581</v>
      </c>
      <c r="C544" t="s">
        <v>1583</v>
      </c>
      <c r="D544" s="5" t="s">
        <v>2581</v>
      </c>
      <c r="E544" t="str">
        <f t="shared" si="27"/>
        <v>UPDATE [MAP].[T_TRANS_VENDOR] SET NEW_VENDOR_ID = 'V0553' WHERE LEGACY_VENDOR_ID = 'MEDICOIN' AND DATA_FOLDER_ID = 'sampl'</v>
      </c>
      <c r="F544" t="str">
        <f t="shared" si="28"/>
        <v>Changed</v>
      </c>
      <c r="G544" t="str">
        <f t="shared" si="29"/>
        <v>-</v>
      </c>
    </row>
    <row r="545" spans="1:7" x14ac:dyDescent="0.25">
      <c r="A545" s="2" t="s">
        <v>1</v>
      </c>
      <c r="B545" s="9" t="s">
        <v>582</v>
      </c>
      <c r="C545" t="s">
        <v>1584</v>
      </c>
      <c r="D545" s="5" t="s">
        <v>2582</v>
      </c>
      <c r="E545" t="str">
        <f t="shared" si="27"/>
        <v>UPDATE [MAP].[T_TRANS_VENDOR] SET NEW_VENDOR_ID = 'V0554' WHERE LEGACY_VENDOR_ID = 'MESKOAVO' AND DATA_FOLDER_ID = 'sampl'</v>
      </c>
      <c r="F545" t="str">
        <f t="shared" si="28"/>
        <v>Changed</v>
      </c>
      <c r="G545" t="str">
        <f t="shared" si="29"/>
        <v>-</v>
      </c>
    </row>
    <row r="546" spans="1:7" x14ac:dyDescent="0.25">
      <c r="A546" s="2" t="s">
        <v>1</v>
      </c>
      <c r="B546" s="9" t="s">
        <v>583</v>
      </c>
      <c r="C546" t="s">
        <v>1585</v>
      </c>
      <c r="D546" s="5" t="s">
        <v>2583</v>
      </c>
      <c r="E546" t="str">
        <f t="shared" si="27"/>
        <v>UPDATE [MAP].[T_TRANS_VENDOR] SET NEW_VENDOR_ID = 'V0555' WHERE LEGACY_VENDOR_ID = 'MESKOES' AND DATA_FOLDER_ID = 'sampl'</v>
      </c>
      <c r="F546" t="str">
        <f t="shared" si="28"/>
        <v>Changed</v>
      </c>
      <c r="G546" t="str">
        <f t="shared" si="29"/>
        <v>-</v>
      </c>
    </row>
    <row r="547" spans="1:7" x14ac:dyDescent="0.25">
      <c r="A547" s="2" t="s">
        <v>1</v>
      </c>
      <c r="B547" s="9" t="s">
        <v>584</v>
      </c>
      <c r="C547" t="s">
        <v>1586</v>
      </c>
      <c r="D547" s="5" t="s">
        <v>2584</v>
      </c>
      <c r="E547" t="str">
        <f t="shared" si="27"/>
        <v>UPDATE [MAP].[T_TRANS_VENDOR] SET NEW_VENDOR_ID = 'V0556' WHERE LEGACY_VENDOR_ID = 'MESKOGLA' AND DATA_FOLDER_ID = 'sampl'</v>
      </c>
      <c r="F547" t="str">
        <f t="shared" si="28"/>
        <v>Changed</v>
      </c>
      <c r="G547" t="str">
        <f t="shared" si="29"/>
        <v>-</v>
      </c>
    </row>
    <row r="548" spans="1:7" x14ac:dyDescent="0.25">
      <c r="A548" s="2" t="s">
        <v>1</v>
      </c>
      <c r="B548" s="9" t="s">
        <v>585</v>
      </c>
      <c r="C548" t="s">
        <v>1587</v>
      </c>
      <c r="D548" s="5" t="s">
        <v>2585</v>
      </c>
      <c r="E548" t="str">
        <f t="shared" si="27"/>
        <v>UPDATE [MAP].[T_TRANS_VENDOR] SET NEW_VENDOR_ID = 'V0557' WHERE LEGACY_VENDOR_ID = 'MESKOWB0' AND DATA_FOLDER_ID = 'sampl'</v>
      </c>
      <c r="F548" t="str">
        <f t="shared" si="28"/>
        <v>Changed</v>
      </c>
      <c r="G548" t="str">
        <f t="shared" si="29"/>
        <v>-</v>
      </c>
    </row>
    <row r="549" spans="1:7" x14ac:dyDescent="0.25">
      <c r="A549" s="2" t="s">
        <v>1</v>
      </c>
      <c r="B549" s="9" t="s">
        <v>586</v>
      </c>
      <c r="C549" t="s">
        <v>1588</v>
      </c>
      <c r="D549" s="5" t="s">
        <v>2586</v>
      </c>
      <c r="E549" t="str">
        <f t="shared" si="27"/>
        <v>UPDATE [MAP].[T_TRANS_VENDOR] SET NEW_VENDOR_ID = 'V0558' WHERE LEGACY_VENDOR_ID = 'METED' AND DATA_FOLDER_ID = 'sampl'</v>
      </c>
      <c r="F549" t="str">
        <f t="shared" si="28"/>
        <v>Changed</v>
      </c>
      <c r="G549" t="str">
        <f t="shared" si="29"/>
        <v>-</v>
      </c>
    </row>
    <row r="550" spans="1:7" x14ac:dyDescent="0.25">
      <c r="A550" s="2" t="s">
        <v>1</v>
      </c>
      <c r="B550" s="9" t="s">
        <v>587</v>
      </c>
      <c r="C550" t="s">
        <v>1589</v>
      </c>
      <c r="D550" s="5" t="s">
        <v>2587</v>
      </c>
      <c r="E550" t="str">
        <f t="shared" si="27"/>
        <v>UPDATE [MAP].[T_TRANS_VENDOR] SET NEW_VENDOR_ID = 'V0559' WHERE LEGACY_VENDOR_ID = 'METLIFEDIB' AND DATA_FOLDER_ID = 'sampl'</v>
      </c>
      <c r="F550" t="str">
        <f t="shared" si="28"/>
        <v>Changed</v>
      </c>
      <c r="G550" t="str">
        <f t="shared" si="29"/>
        <v>-</v>
      </c>
    </row>
    <row r="551" spans="1:7" x14ac:dyDescent="0.25">
      <c r="A551" s="2" t="s">
        <v>1</v>
      </c>
      <c r="B551" s="9" t="s">
        <v>588</v>
      </c>
      <c r="C551" t="s">
        <v>1590</v>
      </c>
      <c r="D551" s="5" t="s">
        <v>2588</v>
      </c>
      <c r="E551" t="str">
        <f t="shared" si="27"/>
        <v>UPDATE [MAP].[T_TRANS_VENDOR] SET NEW_VENDOR_ID = 'V0560' WHERE LEGACY_VENDOR_ID = 'METROPRO' AND DATA_FOLDER_ID = 'sampl'</v>
      </c>
      <c r="F551" t="str">
        <f t="shared" si="28"/>
        <v>Changed</v>
      </c>
      <c r="G551" t="str">
        <f t="shared" si="29"/>
        <v>-</v>
      </c>
    </row>
    <row r="552" spans="1:7" x14ac:dyDescent="0.25">
      <c r="A552" s="2" t="s">
        <v>1</v>
      </c>
      <c r="B552" s="9" t="s">
        <v>589</v>
      </c>
      <c r="C552" t="s">
        <v>1591</v>
      </c>
      <c r="D552" s="5" t="s">
        <v>2589</v>
      </c>
      <c r="E552" t="str">
        <f t="shared" si="27"/>
        <v>UPDATE [MAP].[T_TRANS_VENDOR] SET NEW_VENDOR_ID = 'V0561' WHERE LEGACY_VENDOR_ID = 'MICHANTH' AND DATA_FOLDER_ID = 'sampl'</v>
      </c>
      <c r="F552" t="str">
        <f t="shared" si="28"/>
        <v>Changed</v>
      </c>
      <c r="G552" t="str">
        <f t="shared" si="29"/>
        <v>-</v>
      </c>
    </row>
    <row r="553" spans="1:7" x14ac:dyDescent="0.25">
      <c r="A553" s="2" t="s">
        <v>1</v>
      </c>
      <c r="B553" s="9" t="s">
        <v>590</v>
      </c>
      <c r="C553" t="s">
        <v>1592</v>
      </c>
      <c r="D553" s="5" t="s">
        <v>2590</v>
      </c>
      <c r="E553" t="str">
        <f t="shared" si="27"/>
        <v>UPDATE [MAP].[T_TRANS_VENDOR] SET NEW_VENDOR_ID = 'V0562' WHERE LEGACY_VENDOR_ID = 'MICHELCO' AND DATA_FOLDER_ID = 'sampl'</v>
      </c>
      <c r="F553" t="str">
        <f t="shared" si="28"/>
        <v>Changed</v>
      </c>
      <c r="G553" t="str">
        <f t="shared" si="29"/>
        <v>-</v>
      </c>
    </row>
    <row r="554" spans="1:7" x14ac:dyDescent="0.25">
      <c r="A554" s="2" t="s">
        <v>1</v>
      </c>
      <c r="B554" s="9" t="s">
        <v>591</v>
      </c>
      <c r="C554" t="s">
        <v>1593</v>
      </c>
      <c r="D554" s="5" t="s">
        <v>2591</v>
      </c>
      <c r="E554" t="str">
        <f t="shared" si="27"/>
        <v>UPDATE [MAP].[T_TRANS_VENDOR] SET NEW_VENDOR_ID = 'V0563' WHERE LEGACY_VENDOR_ID = 'MICHELSF' AND DATA_FOLDER_ID = 'sampl'</v>
      </c>
      <c r="F554" t="str">
        <f t="shared" si="28"/>
        <v>Changed</v>
      </c>
      <c r="G554" t="str">
        <f t="shared" si="29"/>
        <v>-</v>
      </c>
    </row>
    <row r="555" spans="1:7" x14ac:dyDescent="0.25">
      <c r="A555" s="2" t="s">
        <v>1</v>
      </c>
      <c r="B555" s="9" t="s">
        <v>592</v>
      </c>
      <c r="C555" t="s">
        <v>1594</v>
      </c>
      <c r="D555" s="5" t="s">
        <v>2592</v>
      </c>
      <c r="E555" t="str">
        <f t="shared" si="27"/>
        <v>UPDATE [MAP].[T_TRANS_VENDOR] SET NEW_VENDOR_ID = 'V0564' WHERE LEGACY_VENDOR_ID = 'MICROCLE' AND DATA_FOLDER_ID = 'sampl'</v>
      </c>
      <c r="F555" t="str">
        <f t="shared" si="28"/>
        <v>Changed</v>
      </c>
      <c r="G555" t="str">
        <f t="shared" si="29"/>
        <v>-</v>
      </c>
    </row>
    <row r="556" spans="1:7" x14ac:dyDescent="0.25">
      <c r="A556" s="2" t="s">
        <v>1</v>
      </c>
      <c r="B556" s="9" t="s">
        <v>593</v>
      </c>
      <c r="C556" t="s">
        <v>1595</v>
      </c>
      <c r="D556" s="5" t="s">
        <v>2593</v>
      </c>
      <c r="E556" t="str">
        <f t="shared" si="27"/>
        <v>UPDATE [MAP].[T_TRANS_VENDOR] SET NEW_VENDOR_ID = 'V0565' WHERE LEGACY_VENDOR_ID = 'MIDATLSE' AND DATA_FOLDER_ID = 'sampl'</v>
      </c>
      <c r="F556" t="str">
        <f t="shared" si="28"/>
        <v>Changed</v>
      </c>
      <c r="G556" t="str">
        <f t="shared" si="29"/>
        <v>-</v>
      </c>
    </row>
    <row r="557" spans="1:7" x14ac:dyDescent="0.25">
      <c r="A557" s="2" t="s">
        <v>1</v>
      </c>
      <c r="B557" s="9" t="s">
        <v>594</v>
      </c>
      <c r="C557" t="s">
        <v>1596</v>
      </c>
      <c r="D557" s="5" t="s">
        <v>2594</v>
      </c>
      <c r="E557" t="str">
        <f t="shared" si="27"/>
        <v>UPDATE [MAP].[T_TRANS_VENDOR] SET NEW_VENDOR_ID = 'V0566' WHERE LEGACY_VENDOR_ID = 'MIDLANTI' AND DATA_FOLDER_ID = 'sampl'</v>
      </c>
      <c r="F557" t="str">
        <f t="shared" si="28"/>
        <v>Changed</v>
      </c>
      <c r="G557" t="str">
        <f t="shared" si="29"/>
        <v>-</v>
      </c>
    </row>
    <row r="558" spans="1:7" x14ac:dyDescent="0.25">
      <c r="A558" s="2" t="s">
        <v>1</v>
      </c>
      <c r="B558" s="9" t="s">
        <v>595</v>
      </c>
      <c r="C558" t="s">
        <v>1597</v>
      </c>
      <c r="D558" s="5" t="s">
        <v>2595</v>
      </c>
      <c r="E558" t="str">
        <f t="shared" si="27"/>
        <v>UPDATE [MAP].[T_TRANS_VENDOR] SET NEW_VENDOR_ID = 'V0567' WHERE LEGACY_VENDOR_ID = 'MIDVALLE' AND DATA_FOLDER_ID = 'sampl'</v>
      </c>
      <c r="F558" t="str">
        <f t="shared" si="28"/>
        <v>Changed</v>
      </c>
      <c r="G558" t="str">
        <f t="shared" si="29"/>
        <v>-</v>
      </c>
    </row>
    <row r="559" spans="1:7" x14ac:dyDescent="0.25">
      <c r="A559" s="2" t="s">
        <v>1</v>
      </c>
      <c r="B559" s="9" t="s">
        <v>596</v>
      </c>
      <c r="C559" t="s">
        <v>1598</v>
      </c>
      <c r="D559" s="5" t="s">
        <v>2596</v>
      </c>
      <c r="E559" t="str">
        <f t="shared" si="27"/>
        <v>UPDATE [MAP].[T_TRANS_VENDOR] SET NEW_VENDOR_ID = 'V0568' WHERE LEGACY_VENDOR_ID = 'MIKEBEVI' AND DATA_FOLDER_ID = 'sampl'</v>
      </c>
      <c r="F559" t="str">
        <f t="shared" si="28"/>
        <v>Changed</v>
      </c>
      <c r="G559" t="str">
        <f t="shared" si="29"/>
        <v>-</v>
      </c>
    </row>
    <row r="560" spans="1:7" x14ac:dyDescent="0.25">
      <c r="A560" s="2" t="s">
        <v>1</v>
      </c>
      <c r="B560" s="9" t="s">
        <v>597</v>
      </c>
      <c r="C560" t="s">
        <v>1599</v>
      </c>
      <c r="D560" s="5" t="s">
        <v>2597</v>
      </c>
      <c r="E560" t="str">
        <f t="shared" si="27"/>
        <v>UPDATE [MAP].[T_TRANS_VENDOR] SET NEW_VENDOR_ID = 'V0569' WHERE LEGACY_VENDOR_ID = 'MILNESEN' AND DATA_FOLDER_ID = 'sampl'</v>
      </c>
      <c r="F560" t="str">
        <f t="shared" si="28"/>
        <v>Changed</v>
      </c>
      <c r="G560" t="str">
        <f t="shared" si="29"/>
        <v>-</v>
      </c>
    </row>
    <row r="561" spans="1:7" x14ac:dyDescent="0.25">
      <c r="A561" s="2" t="s">
        <v>1</v>
      </c>
      <c r="B561" s="9" t="s">
        <v>598</v>
      </c>
      <c r="C561" t="s">
        <v>1600</v>
      </c>
      <c r="D561" s="5" t="s">
        <v>2598</v>
      </c>
      <c r="E561" t="str">
        <f t="shared" si="27"/>
        <v>UPDATE [MAP].[T_TRANS_VENDOR] SET NEW_VENDOR_ID = 'V0570' WHERE LEGACY_VENDOR_ID = 'MILSPECI' AND DATA_FOLDER_ID = 'sampl'</v>
      </c>
      <c r="F561" t="str">
        <f t="shared" si="28"/>
        <v>Changed</v>
      </c>
      <c r="G561" t="str">
        <f t="shared" si="29"/>
        <v>-</v>
      </c>
    </row>
    <row r="562" spans="1:7" x14ac:dyDescent="0.25">
      <c r="A562" s="2" t="s">
        <v>1</v>
      </c>
      <c r="B562" s="9" t="s">
        <v>599</v>
      </c>
      <c r="C562" t="s">
        <v>1601</v>
      </c>
      <c r="D562" s="5" t="s">
        <v>2599</v>
      </c>
      <c r="E562" t="str">
        <f t="shared" si="27"/>
        <v>UPDATE [MAP].[T_TRANS_VENDOR] SET NEW_VENDOR_ID = 'V0571' WHERE LEGACY_VENDOR_ID = 'MKM' AND DATA_FOLDER_ID = 'sampl'</v>
      </c>
      <c r="F562" t="str">
        <f t="shared" si="28"/>
        <v>Changed</v>
      </c>
      <c r="G562" t="str">
        <f t="shared" si="29"/>
        <v>-</v>
      </c>
    </row>
    <row r="563" spans="1:7" x14ac:dyDescent="0.25">
      <c r="A563" s="2" t="s">
        <v>1</v>
      </c>
      <c r="B563" s="9" t="s">
        <v>600</v>
      </c>
      <c r="C563" t="s">
        <v>1602</v>
      </c>
      <c r="D563" s="5" t="s">
        <v>2600</v>
      </c>
      <c r="E563" t="str">
        <f t="shared" si="27"/>
        <v>UPDATE [MAP].[T_TRANS_VENDOR] SET NEW_VENDOR_ID = 'V0572' WHERE LEGACY_VENDOR_ID = 'MKNORRCO' AND DATA_FOLDER_ID = 'sampl'</v>
      </c>
      <c r="F563" t="str">
        <f t="shared" si="28"/>
        <v>Changed</v>
      </c>
      <c r="G563" t="str">
        <f t="shared" si="29"/>
        <v>-</v>
      </c>
    </row>
    <row r="564" spans="1:7" x14ac:dyDescent="0.25">
      <c r="A564" s="2" t="s">
        <v>1</v>
      </c>
      <c r="B564" s="9" t="s">
        <v>601</v>
      </c>
      <c r="C564" t="s">
        <v>1603</v>
      </c>
      <c r="D564" s="5" t="s">
        <v>2601</v>
      </c>
      <c r="E564" t="str">
        <f t="shared" si="27"/>
        <v>UPDATE [MAP].[T_TRANS_VENDOR] SET NEW_VENDOR_ID = 'V0573' WHERE LEGACY_VENDOR_ID = 'MMUIR' AND DATA_FOLDER_ID = 'sampl'</v>
      </c>
      <c r="F564" t="str">
        <f t="shared" si="28"/>
        <v>Changed</v>
      </c>
      <c r="G564" t="str">
        <f t="shared" si="29"/>
        <v>-</v>
      </c>
    </row>
    <row r="565" spans="1:7" x14ac:dyDescent="0.25">
      <c r="A565" s="2" t="s">
        <v>1</v>
      </c>
      <c r="B565" s="9" t="s">
        <v>602</v>
      </c>
      <c r="C565" t="s">
        <v>1604</v>
      </c>
      <c r="D565" s="5" t="s">
        <v>2602</v>
      </c>
      <c r="E565" t="str">
        <f t="shared" si="27"/>
        <v>UPDATE [MAP].[T_TRANS_VENDOR] SET NEW_VENDOR_ID = 'V0574' WHERE LEGACY_VENDOR_ID = 'MOBILEMI' AND DATA_FOLDER_ID = 'sampl'</v>
      </c>
      <c r="F565" t="str">
        <f t="shared" si="28"/>
        <v>Changed</v>
      </c>
      <c r="G565" t="str">
        <f t="shared" si="29"/>
        <v>-</v>
      </c>
    </row>
    <row r="566" spans="1:7" x14ac:dyDescent="0.25">
      <c r="A566" s="2" t="s">
        <v>1</v>
      </c>
      <c r="B566" s="9" t="s">
        <v>603</v>
      </c>
      <c r="C566" t="s">
        <v>1605</v>
      </c>
      <c r="D566" s="5" t="s">
        <v>2603</v>
      </c>
      <c r="E566" t="str">
        <f t="shared" si="27"/>
        <v>UPDATE [MAP].[T_TRANS_VENDOR] SET NEW_VENDOR_ID = 'V0575' WHERE LEGACY_VENDOR_ID = 'MOBILEMO' AND DATA_FOLDER_ID = 'sampl'</v>
      </c>
      <c r="F566" t="str">
        <f t="shared" si="28"/>
        <v>Changed</v>
      </c>
      <c r="G566" t="str">
        <f t="shared" si="29"/>
        <v>-</v>
      </c>
    </row>
    <row r="567" spans="1:7" x14ac:dyDescent="0.25">
      <c r="A567" s="2" t="s">
        <v>1</v>
      </c>
      <c r="B567" s="9" t="s">
        <v>604</v>
      </c>
      <c r="C567" t="s">
        <v>1606</v>
      </c>
      <c r="D567" s="5" t="s">
        <v>2604</v>
      </c>
      <c r="E567" t="str">
        <f t="shared" si="27"/>
        <v>UPDATE [MAP].[T_TRANS_VENDOR] SET NEW_VENDOR_ID = 'V0576' WHERE LEGACY_VENDOR_ID = 'MODERNFO' AND DATA_FOLDER_ID = 'sampl'</v>
      </c>
      <c r="F567" t="str">
        <f t="shared" si="28"/>
        <v>Changed</v>
      </c>
      <c r="G567" t="str">
        <f t="shared" si="29"/>
        <v>-</v>
      </c>
    </row>
    <row r="568" spans="1:7" x14ac:dyDescent="0.25">
      <c r="A568" s="2" t="s">
        <v>1</v>
      </c>
      <c r="B568" s="9" t="s">
        <v>605</v>
      </c>
      <c r="C568" t="s">
        <v>1607</v>
      </c>
      <c r="D568" s="5" t="s">
        <v>2605</v>
      </c>
      <c r="E568" t="str">
        <f t="shared" si="27"/>
        <v>UPDATE [MAP].[T_TRANS_VENDOR] SET NEW_VENDOR_ID = 'V0577' WHERE LEGACY_VENDOR_ID = 'MODERNHA' AND DATA_FOLDER_ID = 'sampl'</v>
      </c>
      <c r="F568" t="str">
        <f t="shared" si="28"/>
        <v>Changed</v>
      </c>
      <c r="G568" t="str">
        <f t="shared" si="29"/>
        <v>-</v>
      </c>
    </row>
    <row r="569" spans="1:7" x14ac:dyDescent="0.25">
      <c r="A569" s="2" t="s">
        <v>1</v>
      </c>
      <c r="B569" s="9" t="s">
        <v>606</v>
      </c>
      <c r="C569" t="s">
        <v>1608</v>
      </c>
      <c r="D569" s="5" t="s">
        <v>2606</v>
      </c>
      <c r="E569" t="str">
        <f t="shared" si="27"/>
        <v>UPDATE [MAP].[T_TRANS_VENDOR] SET NEW_VENDOR_ID = 'V0578' WHERE LEGACY_VENDOR_ID = 'MODERNPR' AND DATA_FOLDER_ID = 'sampl'</v>
      </c>
      <c r="F569" t="str">
        <f t="shared" si="28"/>
        <v>Changed</v>
      </c>
      <c r="G569" t="str">
        <f t="shared" si="29"/>
        <v>-</v>
      </c>
    </row>
    <row r="570" spans="1:7" x14ac:dyDescent="0.25">
      <c r="A570" s="2" t="s">
        <v>1</v>
      </c>
      <c r="B570" s="9" t="s">
        <v>607</v>
      </c>
      <c r="C570" t="s">
        <v>1609</v>
      </c>
      <c r="D570" s="5" t="s">
        <v>2607</v>
      </c>
      <c r="E570" t="str">
        <f t="shared" si="27"/>
        <v>UPDATE [MAP].[T_TRANS_VENDOR] SET NEW_VENDOR_ID = 'V0580' WHERE LEGACY_VENDOR_ID = 'MODSTYLE' AND DATA_FOLDER_ID = 'sampl'</v>
      </c>
      <c r="F570" t="str">
        <f t="shared" si="28"/>
        <v>Changed</v>
      </c>
      <c r="G570" t="str">
        <f t="shared" si="29"/>
        <v>-</v>
      </c>
    </row>
    <row r="571" spans="1:7" x14ac:dyDescent="0.25">
      <c r="A571" s="2" t="s">
        <v>1</v>
      </c>
      <c r="B571" s="9" t="s">
        <v>608</v>
      </c>
      <c r="C571" t="s">
        <v>1610</v>
      </c>
      <c r="D571" s="5" t="s">
        <v>2608</v>
      </c>
      <c r="E571" t="str">
        <f t="shared" si="27"/>
        <v>UPDATE [MAP].[T_TRANS_VENDOR] SET NEW_VENDOR_ID = 'V0581' WHERE LEGACY_VENDOR_ID = 'MOLDEDFI' AND DATA_FOLDER_ID = 'sampl'</v>
      </c>
      <c r="F571" t="str">
        <f t="shared" si="28"/>
        <v>Changed</v>
      </c>
      <c r="G571" t="str">
        <f t="shared" si="29"/>
        <v>-</v>
      </c>
    </row>
    <row r="572" spans="1:7" x14ac:dyDescent="0.25">
      <c r="A572" s="2" t="s">
        <v>1</v>
      </c>
      <c r="B572" s="9" t="s">
        <v>609</v>
      </c>
      <c r="C572" t="s">
        <v>1611</v>
      </c>
      <c r="D572" s="5" t="s">
        <v>2609</v>
      </c>
      <c r="E572" t="str">
        <f t="shared" si="27"/>
        <v>UPDATE [MAP].[T_TRANS_VENDOR] SET NEW_VENDOR_ID = 'V0582' WHERE LEGACY_VENDOR_ID = 'MONROECOUN' AND DATA_FOLDER_ID = 'sampl'</v>
      </c>
      <c r="F572" t="str">
        <f t="shared" si="28"/>
        <v>Changed</v>
      </c>
      <c r="G572" t="str">
        <f t="shared" si="29"/>
        <v>-</v>
      </c>
    </row>
    <row r="573" spans="1:7" x14ac:dyDescent="0.25">
      <c r="A573" s="2" t="s">
        <v>1</v>
      </c>
      <c r="B573" s="9" t="s">
        <v>610</v>
      </c>
      <c r="C573" t="s">
        <v>1612</v>
      </c>
      <c r="D573" s="5" t="s">
        <v>2610</v>
      </c>
      <c r="E573" t="str">
        <f t="shared" si="27"/>
        <v>UPDATE [MAP].[T_TRANS_VENDOR] SET NEW_VENDOR_ID = 'V0583' WHERE LEGACY_VENDOR_ID = 'MORGFRAN' AND DATA_FOLDER_ID = 'sampl'</v>
      </c>
      <c r="F573" t="str">
        <f t="shared" si="28"/>
        <v>Changed</v>
      </c>
      <c r="G573" t="str">
        <f t="shared" si="29"/>
        <v>-</v>
      </c>
    </row>
    <row r="574" spans="1:7" x14ac:dyDescent="0.25">
      <c r="A574" s="2" t="s">
        <v>1</v>
      </c>
      <c r="B574" s="9" t="s">
        <v>611</v>
      </c>
      <c r="C574" t="s">
        <v>1613</v>
      </c>
      <c r="D574" s="5" t="s">
        <v>2611</v>
      </c>
      <c r="E574" t="str">
        <f t="shared" si="27"/>
        <v>UPDATE [MAP].[T_TRANS_VENDOR] SET NEW_VENDOR_ID = 'V0584' WHERE LEGACY_VENDOR_ID = 'MORNINGC' AND DATA_FOLDER_ID = 'sampl'</v>
      </c>
      <c r="F574" t="str">
        <f t="shared" si="28"/>
        <v>Changed</v>
      </c>
      <c r="G574" t="str">
        <f t="shared" si="29"/>
        <v>-</v>
      </c>
    </row>
    <row r="575" spans="1:7" x14ac:dyDescent="0.25">
      <c r="A575" s="2" t="s">
        <v>1</v>
      </c>
      <c r="B575" s="9" t="s">
        <v>612</v>
      </c>
      <c r="C575" t="s">
        <v>1614</v>
      </c>
      <c r="D575" s="5" t="s">
        <v>2612</v>
      </c>
      <c r="E575" t="str">
        <f t="shared" si="27"/>
        <v>UPDATE [MAP].[T_TRANS_VENDOR] SET NEW_VENDOR_ID = 'V0585' WHERE LEGACY_VENDOR_ID = 'MORSECOLL' AND DATA_FOLDER_ID = 'sampl'</v>
      </c>
      <c r="F575" t="str">
        <f t="shared" si="28"/>
        <v>Changed</v>
      </c>
      <c r="G575" t="str">
        <f t="shared" si="29"/>
        <v>-</v>
      </c>
    </row>
    <row r="576" spans="1:7" x14ac:dyDescent="0.25">
      <c r="A576" s="2" t="s">
        <v>1</v>
      </c>
      <c r="B576" s="9" t="s">
        <v>613</v>
      </c>
      <c r="C576" t="s">
        <v>1615</v>
      </c>
      <c r="D576" s="5" t="s">
        <v>2613</v>
      </c>
      <c r="E576" t="str">
        <f t="shared" si="27"/>
        <v>UPDATE [MAP].[T_TRANS_VENDOR] SET NEW_VENDOR_ID = 'V0586' WHERE LEGACY_VENDOR_ID = 'MOTORWOR' AND DATA_FOLDER_ID = 'sampl'</v>
      </c>
      <c r="F576" t="str">
        <f t="shared" si="28"/>
        <v>Changed</v>
      </c>
      <c r="G576" t="str">
        <f t="shared" si="29"/>
        <v>-</v>
      </c>
    </row>
    <row r="577" spans="1:7" x14ac:dyDescent="0.25">
      <c r="A577" s="2" t="s">
        <v>1</v>
      </c>
      <c r="B577" s="9" t="s">
        <v>614</v>
      </c>
      <c r="C577" t="s">
        <v>1616</v>
      </c>
      <c r="D577" s="5" t="s">
        <v>2614</v>
      </c>
      <c r="E577" t="str">
        <f t="shared" si="27"/>
        <v>UPDATE [MAP].[T_TRANS_VENDOR] SET NEW_VENDOR_ID = 'V0587' WHERE LEGACY_VENDOR_ID = 'MOUNENER' AND DATA_FOLDER_ID = 'sampl'</v>
      </c>
      <c r="F577" t="str">
        <f t="shared" si="28"/>
        <v>Changed</v>
      </c>
      <c r="G577" t="str">
        <f t="shared" si="29"/>
        <v>-</v>
      </c>
    </row>
    <row r="578" spans="1:7" x14ac:dyDescent="0.25">
      <c r="A578" s="2" t="s">
        <v>1</v>
      </c>
      <c r="B578" s="9" t="s">
        <v>615</v>
      </c>
      <c r="C578" t="s">
        <v>1617</v>
      </c>
      <c r="D578" s="5" t="s">
        <v>2615</v>
      </c>
      <c r="E578" t="str">
        <f t="shared" si="27"/>
        <v>UPDATE [MAP].[T_TRANS_VENDOR] SET NEW_VENDOR_ID = 'V0588' WHERE LEGACY_VENDOR_ID = 'MOUNTAIN' AND DATA_FOLDER_ID = 'sampl'</v>
      </c>
      <c r="F578" t="str">
        <f t="shared" si="28"/>
        <v>Changed</v>
      </c>
      <c r="G578" t="str">
        <f t="shared" si="29"/>
        <v>-</v>
      </c>
    </row>
    <row r="579" spans="1:7" x14ac:dyDescent="0.25">
      <c r="A579" s="2" t="s">
        <v>1</v>
      </c>
      <c r="B579" s="9" t="s">
        <v>616</v>
      </c>
      <c r="C579" t="s">
        <v>1618</v>
      </c>
      <c r="D579" s="5" t="s">
        <v>2616</v>
      </c>
      <c r="E579" t="str">
        <f t="shared" si="27"/>
        <v>UPDATE [MAP].[T_TRANS_VENDOR] SET NEW_VENDOR_ID = 'V0589' WHERE LEGACY_VENDOR_ID = 'MTZIONMA' AND DATA_FOLDER_ID = 'sampl'</v>
      </c>
      <c r="F579" t="str">
        <f t="shared" si="28"/>
        <v>Changed</v>
      </c>
      <c r="G579" t="str">
        <f t="shared" si="29"/>
        <v>-</v>
      </c>
    </row>
    <row r="580" spans="1:7" x14ac:dyDescent="0.25">
      <c r="A580" s="2" t="s">
        <v>1</v>
      </c>
      <c r="B580" s="9" t="s">
        <v>617</v>
      </c>
      <c r="C580" t="s">
        <v>1619</v>
      </c>
      <c r="D580" s="5" t="s">
        <v>2617</v>
      </c>
      <c r="E580" t="str">
        <f t="shared" si="27"/>
        <v>UPDATE [MAP].[T_TRANS_VENDOR] SET NEW_VENDOR_ID = 'V0590' WHERE LEGACY_VENDOR_ID = 'MULTISER' AND DATA_FOLDER_ID = 'sampl'</v>
      </c>
      <c r="F580" t="str">
        <f t="shared" si="28"/>
        <v>Changed</v>
      </c>
      <c r="G580" t="str">
        <f t="shared" si="29"/>
        <v>-</v>
      </c>
    </row>
    <row r="581" spans="1:7" x14ac:dyDescent="0.25">
      <c r="A581" s="2" t="s">
        <v>1</v>
      </c>
      <c r="B581" s="9" t="s">
        <v>618</v>
      </c>
      <c r="C581" t="s">
        <v>1620</v>
      </c>
      <c r="D581" s="5" t="s">
        <v>2618</v>
      </c>
      <c r="E581" t="str">
        <f t="shared" si="27"/>
        <v>UPDATE [MAP].[T_TRANS_VENDOR] SET NEW_VENDOR_ID = 'V0591' WHERE LEGACY_VENDOR_ID = 'MURPHYLU' AND DATA_FOLDER_ID = 'sampl'</v>
      </c>
      <c r="F581" t="str">
        <f t="shared" si="28"/>
        <v>Changed</v>
      </c>
      <c r="G581" t="str">
        <f t="shared" si="29"/>
        <v>-</v>
      </c>
    </row>
    <row r="582" spans="1:7" x14ac:dyDescent="0.25">
      <c r="A582" s="2" t="s">
        <v>1</v>
      </c>
      <c r="B582" s="9" t="s">
        <v>619</v>
      </c>
      <c r="C582" t="s">
        <v>1621</v>
      </c>
      <c r="D582" s="5" t="s">
        <v>2619</v>
      </c>
      <c r="E582" t="str">
        <f t="shared" si="27"/>
        <v>UPDATE [MAP].[T_TRANS_VENDOR] SET NEW_VENDOR_ID = 'V0592' WHERE LEGACY_VENDOR_ID = 'MW Welding' AND DATA_FOLDER_ID = 'sampl'</v>
      </c>
      <c r="F582" t="str">
        <f t="shared" si="28"/>
        <v>Changed</v>
      </c>
      <c r="G582" t="str">
        <f t="shared" si="29"/>
        <v>-</v>
      </c>
    </row>
    <row r="583" spans="1:7" x14ac:dyDescent="0.25">
      <c r="A583" s="2" t="s">
        <v>1</v>
      </c>
      <c r="B583" s="9" t="s">
        <v>620</v>
      </c>
      <c r="C583" t="s">
        <v>619</v>
      </c>
      <c r="D583" s="5" t="s">
        <v>2620</v>
      </c>
      <c r="E583" t="str">
        <f t="shared" si="27"/>
        <v>UPDATE [MAP].[T_TRANS_VENDOR] SET NEW_VENDOR_ID = 'V0593' WHERE LEGACY_VENDOR_ID = 'MWWELDING' AND DATA_FOLDER_ID = 'sampl'</v>
      </c>
      <c r="F583" t="str">
        <f t="shared" si="28"/>
        <v>Changed</v>
      </c>
      <c r="G583" t="str">
        <f t="shared" si="29"/>
        <v>-</v>
      </c>
    </row>
    <row r="584" spans="1:7" x14ac:dyDescent="0.25">
      <c r="A584" s="2" t="s">
        <v>1</v>
      </c>
      <c r="B584" s="9" t="s">
        <v>621</v>
      </c>
      <c r="C584" t="s">
        <v>1622</v>
      </c>
      <c r="D584" s="5" t="s">
        <v>2621</v>
      </c>
      <c r="E584" t="str">
        <f t="shared" si="27"/>
        <v>UPDATE [MAP].[T_TRANS_VENDOR] SET NEW_VENDOR_ID = 'V0594' WHERE LEGACY_VENDOR_ID = 'NAESPOWE' AND DATA_FOLDER_ID = 'sampl'</v>
      </c>
      <c r="F584" t="str">
        <f t="shared" si="28"/>
        <v>Changed</v>
      </c>
      <c r="G584" t="str">
        <f t="shared" si="29"/>
        <v>-</v>
      </c>
    </row>
    <row r="585" spans="1:7" x14ac:dyDescent="0.25">
      <c r="A585" s="2" t="s">
        <v>1</v>
      </c>
      <c r="B585" s="9" t="s">
        <v>622</v>
      </c>
      <c r="C585" t="s">
        <v>1623</v>
      </c>
      <c r="D585" s="5" t="s">
        <v>2622</v>
      </c>
      <c r="E585" t="str">
        <f t="shared" si="27"/>
        <v>UPDATE [MAP].[T_TRANS_VENDOR] SET NEW_VENDOR_ID = 'V0595' WHERE LEGACY_VENDOR_ID = 'NAMILLWR' AND DATA_FOLDER_ID = 'sampl'</v>
      </c>
      <c r="F585" t="str">
        <f t="shared" si="28"/>
        <v>Changed</v>
      </c>
      <c r="G585" t="str">
        <f t="shared" si="29"/>
        <v>-</v>
      </c>
    </row>
    <row r="586" spans="1:7" x14ac:dyDescent="0.25">
      <c r="A586" s="2" t="s">
        <v>1</v>
      </c>
      <c r="B586" s="9" t="s">
        <v>623</v>
      </c>
      <c r="C586" t="s">
        <v>1624</v>
      </c>
      <c r="D586" s="5" t="s">
        <v>2623</v>
      </c>
      <c r="E586" t="str">
        <f t="shared" si="27"/>
        <v>UPDATE [MAP].[T_TRANS_VENDOR] SET NEW_VENDOR_ID = 'V0596' WHERE LEGACY_VENDOR_ID = 'NATIONWIDE' AND DATA_FOLDER_ID = 'sampl'</v>
      </c>
      <c r="F586" t="str">
        <f t="shared" si="28"/>
        <v>Changed</v>
      </c>
      <c r="G586" t="str">
        <f t="shared" si="29"/>
        <v>-</v>
      </c>
    </row>
    <row r="587" spans="1:7" x14ac:dyDescent="0.25">
      <c r="A587" s="2" t="s">
        <v>1</v>
      </c>
      <c r="B587" s="9" t="s">
        <v>624</v>
      </c>
      <c r="C587" t="s">
        <v>1625</v>
      </c>
      <c r="D587" s="5" t="s">
        <v>2624</v>
      </c>
      <c r="E587" t="str">
        <f t="shared" si="27"/>
        <v>UPDATE [MAP].[T_TRANS_VENDOR] SET NEW_VENDOR_ID = 'V0597' WHERE LEGACY_VENDOR_ID = 'NEARCHIT' AND DATA_FOLDER_ID = 'sampl'</v>
      </c>
      <c r="F587" t="str">
        <f t="shared" si="28"/>
        <v>Changed</v>
      </c>
      <c r="G587" t="str">
        <f t="shared" si="29"/>
        <v>-</v>
      </c>
    </row>
    <row r="588" spans="1:7" x14ac:dyDescent="0.25">
      <c r="A588" s="2" t="s">
        <v>1</v>
      </c>
      <c r="B588" s="9" t="s">
        <v>625</v>
      </c>
      <c r="C588" t="s">
        <v>1626</v>
      </c>
      <c r="D588" s="5" t="s">
        <v>2625</v>
      </c>
      <c r="E588" t="str">
        <f t="shared" si="27"/>
        <v>UPDATE [MAP].[T_TRANS_VENDOR] SET NEW_VENDOR_ID = 'V0598' WHERE LEGACY_VENDOR_ID = 'NEMAINTE' AND DATA_FOLDER_ID = 'sampl'</v>
      </c>
      <c r="F588" t="str">
        <f t="shared" si="28"/>
        <v>Changed</v>
      </c>
      <c r="G588" t="str">
        <f t="shared" si="29"/>
        <v>-</v>
      </c>
    </row>
    <row r="589" spans="1:7" x14ac:dyDescent="0.25">
      <c r="A589" s="2" t="s">
        <v>1</v>
      </c>
      <c r="B589" s="9" t="s">
        <v>626</v>
      </c>
      <c r="C589" t="s">
        <v>1627</v>
      </c>
      <c r="D589" s="5" t="s">
        <v>2626</v>
      </c>
      <c r="E589" t="str">
        <f t="shared" si="27"/>
        <v>UPDATE [MAP].[T_TRANS_VENDOR] SET NEW_VENDOR_ID = 'V0599' WHERE LEGACY_VENDOR_ID = 'NEPAAIAI' AND DATA_FOLDER_ID = 'sampl'</v>
      </c>
      <c r="F589" t="str">
        <f t="shared" si="28"/>
        <v>Changed</v>
      </c>
      <c r="G589" t="str">
        <f t="shared" si="29"/>
        <v>-</v>
      </c>
    </row>
    <row r="590" spans="1:7" x14ac:dyDescent="0.25">
      <c r="A590" s="2" t="s">
        <v>1</v>
      </c>
      <c r="B590" s="9" t="s">
        <v>627</v>
      </c>
      <c r="C590" t="s">
        <v>1628</v>
      </c>
      <c r="D590" s="5" t="s">
        <v>2627</v>
      </c>
      <c r="E590" t="str">
        <f t="shared" si="27"/>
        <v>UPDATE [MAP].[T_TRANS_VENDOR] SET NEW_VENDOR_ID = 'V0600' WHERE LEGACY_VENDOR_ID = 'NEPACASS' AND DATA_FOLDER_ID = 'sampl'</v>
      </c>
      <c r="F590" t="str">
        <f t="shared" si="28"/>
        <v>Changed</v>
      </c>
      <c r="G590" t="str">
        <f t="shared" si="29"/>
        <v>-</v>
      </c>
    </row>
    <row r="591" spans="1:7" x14ac:dyDescent="0.25">
      <c r="A591" s="2" t="s">
        <v>1</v>
      </c>
      <c r="B591" s="9" t="s">
        <v>628</v>
      </c>
      <c r="C591" t="s">
        <v>1629</v>
      </c>
      <c r="D591" s="5" t="s">
        <v>2628</v>
      </c>
      <c r="E591" t="str">
        <f t="shared" ref="E591:E654" si="30">"UPDATE "&amp;$E$3&amp;" SET NEW_VENDOR_ID = '"&amp;D591&amp;"' WHERE LEGACY_VENDOR_ID = '"&amp;B591&amp;"' AND DATA_FOLDER_ID = '"&amp;$A591&amp;"'"</f>
        <v>UPDATE [MAP].[T_TRANS_VENDOR] SET NEW_VENDOR_ID = 'V0601' WHERE LEGACY_VENDOR_ID = 'NEPACONC' AND DATA_FOLDER_ID = 'sampl'</v>
      </c>
      <c r="F591" t="str">
        <f t="shared" ref="F591:F654" si="31">IF(B591&lt;&gt;D591,"Changed","-")</f>
        <v>Changed</v>
      </c>
      <c r="G591" t="str">
        <f t="shared" ref="G591:G654" si="32">IF(B591="","Hide","-")</f>
        <v>-</v>
      </c>
    </row>
    <row r="592" spans="1:7" x14ac:dyDescent="0.25">
      <c r="A592" s="2" t="s">
        <v>1</v>
      </c>
      <c r="B592" s="9" t="s">
        <v>629</v>
      </c>
      <c r="C592" t="s">
        <v>1630</v>
      </c>
      <c r="D592" s="5" t="s">
        <v>2629</v>
      </c>
      <c r="E592" t="str">
        <f t="shared" si="30"/>
        <v>UPDATE [MAP].[T_TRANS_VENDOR] SET NEW_VENDOR_ID = 'V0602' WHERE LEGACY_VENDOR_ID = 'NEPACONT' AND DATA_FOLDER_ID = 'sampl'</v>
      </c>
      <c r="F592" t="str">
        <f t="shared" si="31"/>
        <v>Changed</v>
      </c>
      <c r="G592" t="str">
        <f t="shared" si="32"/>
        <v>-</v>
      </c>
    </row>
    <row r="593" spans="1:7" x14ac:dyDescent="0.25">
      <c r="A593" s="2" t="s">
        <v>1</v>
      </c>
      <c r="B593" s="9" t="s">
        <v>630</v>
      </c>
      <c r="C593" t="s">
        <v>1631</v>
      </c>
      <c r="D593" s="5" t="s">
        <v>2630</v>
      </c>
      <c r="E593" t="str">
        <f t="shared" si="30"/>
        <v>UPDATE [MAP].[T_TRANS_VENDOR] SET NEW_VENDOR_ID = 'V0603' WHERE LEGACY_VENDOR_ID = 'NEPACRANE' AND DATA_FOLDER_ID = 'sampl'</v>
      </c>
      <c r="F593" t="str">
        <f t="shared" si="31"/>
        <v>Changed</v>
      </c>
      <c r="G593" t="str">
        <f t="shared" si="32"/>
        <v>-</v>
      </c>
    </row>
    <row r="594" spans="1:7" x14ac:dyDescent="0.25">
      <c r="A594" s="2" t="s">
        <v>1</v>
      </c>
      <c r="B594" s="9" t="s">
        <v>631</v>
      </c>
      <c r="C594" t="s">
        <v>1632</v>
      </c>
      <c r="D594" s="5" t="s">
        <v>2631</v>
      </c>
      <c r="E594" t="str">
        <f t="shared" si="30"/>
        <v>UPDATE [MAP].[T_TRANS_VENDOR] SET NEW_VENDOR_ID = 'V0604' WHERE LEGACY_VENDOR_ID = 'NESITECO' AND DATA_FOLDER_ID = 'sampl'</v>
      </c>
      <c r="F594" t="str">
        <f t="shared" si="31"/>
        <v>Changed</v>
      </c>
      <c r="G594" t="str">
        <f t="shared" si="32"/>
        <v>-</v>
      </c>
    </row>
    <row r="595" spans="1:7" x14ac:dyDescent="0.25">
      <c r="A595" s="2" t="s">
        <v>1</v>
      </c>
      <c r="B595" s="9" t="s">
        <v>632</v>
      </c>
      <c r="C595" t="s">
        <v>1633</v>
      </c>
      <c r="D595" s="5" t="s">
        <v>2632</v>
      </c>
      <c r="E595" t="str">
        <f t="shared" si="30"/>
        <v>UPDATE [MAP].[T_TRANS_VENDOR] SET NEW_VENDOR_ID = 'V0605' WHERE LEGACY_VENDOR_ID = 'NESTEELP' AND DATA_FOLDER_ID = 'sampl'</v>
      </c>
      <c r="F595" t="str">
        <f t="shared" si="31"/>
        <v>Changed</v>
      </c>
      <c r="G595" t="str">
        <f t="shared" si="32"/>
        <v>-</v>
      </c>
    </row>
    <row r="596" spans="1:7" x14ac:dyDescent="0.25">
      <c r="A596" s="2" t="s">
        <v>1</v>
      </c>
      <c r="B596" s="9" t="s">
        <v>633</v>
      </c>
      <c r="C596" t="s">
        <v>1634</v>
      </c>
      <c r="D596" s="5" t="s">
        <v>2633</v>
      </c>
      <c r="E596" t="str">
        <f t="shared" si="30"/>
        <v>UPDATE [MAP].[T_TRANS_VENDOR] SET NEW_VENDOR_ID = 'V0606' WHERE LEGACY_VENDOR_ID = 'NEWAGEIN' AND DATA_FOLDER_ID = 'sampl'</v>
      </c>
      <c r="F596" t="str">
        <f t="shared" si="31"/>
        <v>Changed</v>
      </c>
      <c r="G596" t="str">
        <f t="shared" si="32"/>
        <v>-</v>
      </c>
    </row>
    <row r="597" spans="1:7" x14ac:dyDescent="0.25">
      <c r="A597" s="2" t="s">
        <v>1</v>
      </c>
      <c r="B597" s="9" t="s">
        <v>634</v>
      </c>
      <c r="C597" t="s">
        <v>1635</v>
      </c>
      <c r="D597" s="5" t="s">
        <v>2634</v>
      </c>
      <c r="E597" t="str">
        <f t="shared" si="30"/>
        <v>UPDATE [MAP].[T_TRANS_VENDOR] SET NEW_VENDOR_ID = 'V0607' WHERE LEGACY_VENDOR_ID = 'NEWELLFU' AND DATA_FOLDER_ID = 'sampl'</v>
      </c>
      <c r="F597" t="str">
        <f t="shared" si="31"/>
        <v>Changed</v>
      </c>
      <c r="G597" t="str">
        <f t="shared" si="32"/>
        <v>-</v>
      </c>
    </row>
    <row r="598" spans="1:7" x14ac:dyDescent="0.25">
      <c r="A598" s="2" t="s">
        <v>1</v>
      </c>
      <c r="B598" s="9" t="s">
        <v>635</v>
      </c>
      <c r="C598" t="s">
        <v>1636</v>
      </c>
      <c r="D598" s="5" t="s">
        <v>2635</v>
      </c>
      <c r="E598" t="str">
        <f t="shared" si="30"/>
        <v>UPDATE [MAP].[T_TRANS_VENDOR] SET NEW_VENDOR_ID = 'V0608' WHERE LEGACY_VENDOR_ID = 'NEWENTER' AND DATA_FOLDER_ID = 'sampl'</v>
      </c>
      <c r="F598" t="str">
        <f t="shared" si="31"/>
        <v>Changed</v>
      </c>
      <c r="G598" t="str">
        <f t="shared" si="32"/>
        <v>-</v>
      </c>
    </row>
    <row r="599" spans="1:7" x14ac:dyDescent="0.25">
      <c r="A599" s="2" t="s">
        <v>1</v>
      </c>
      <c r="B599" s="9" t="s">
        <v>636</v>
      </c>
      <c r="C599" t="s">
        <v>1637</v>
      </c>
      <c r="D599" s="5" t="s">
        <v>2636</v>
      </c>
      <c r="E599" t="str">
        <f t="shared" si="30"/>
        <v>UPDATE [MAP].[T_TRANS_VENDOR] SET NEW_VENDOR_ID = 'V0609' WHERE LEGACY_VENDOR_ID = 'NEWPORT' AND DATA_FOLDER_ID = 'sampl'</v>
      </c>
      <c r="F599" t="str">
        <f t="shared" si="31"/>
        <v>Changed</v>
      </c>
      <c r="G599" t="str">
        <f t="shared" si="32"/>
        <v>-</v>
      </c>
    </row>
    <row r="600" spans="1:7" x14ac:dyDescent="0.25">
      <c r="A600" s="2" t="s">
        <v>1</v>
      </c>
      <c r="B600" s="9" t="s">
        <v>637</v>
      </c>
      <c r="C600" t="s">
        <v>1638</v>
      </c>
      <c r="D600" s="5" t="s">
        <v>2637</v>
      </c>
      <c r="E600" t="str">
        <f t="shared" si="30"/>
        <v>UPDATE [MAP].[T_TRANS_VENDOR] SET NEW_VENDOR_ID = 'V0610' WHERE LEGACY_VENDOR_ID = 'NICKMALA' AND DATA_FOLDER_ID = 'sampl'</v>
      </c>
      <c r="F600" t="str">
        <f t="shared" si="31"/>
        <v>Changed</v>
      </c>
      <c r="G600" t="str">
        <f t="shared" si="32"/>
        <v>-</v>
      </c>
    </row>
    <row r="601" spans="1:7" x14ac:dyDescent="0.25">
      <c r="A601" s="2" t="s">
        <v>1</v>
      </c>
      <c r="B601" s="9" t="s">
        <v>638</v>
      </c>
      <c r="C601" t="s">
        <v>1639</v>
      </c>
      <c r="D601" s="5" t="s">
        <v>2638</v>
      </c>
      <c r="E601" t="str">
        <f t="shared" si="30"/>
        <v>UPDATE [MAP].[T_TRANS_VENDOR] SET NEW_VENDOR_ID = 'V0611' WHERE LEGACY_VENDOR_ID = 'NIKOCONS' AND DATA_FOLDER_ID = 'sampl'</v>
      </c>
      <c r="F601" t="str">
        <f t="shared" si="31"/>
        <v>Changed</v>
      </c>
      <c r="G601" t="str">
        <f t="shared" si="32"/>
        <v>-</v>
      </c>
    </row>
    <row r="602" spans="1:7" x14ac:dyDescent="0.25">
      <c r="A602" s="2" t="s">
        <v>1</v>
      </c>
      <c r="B602" s="9" t="s">
        <v>639</v>
      </c>
      <c r="C602" t="s">
        <v>1640</v>
      </c>
      <c r="D602" s="5" t="s">
        <v>2639</v>
      </c>
      <c r="E602" t="str">
        <f t="shared" si="30"/>
        <v>UPDATE [MAP].[T_TRANS_VENDOR] SET NEW_VENDOR_ID = 'V0612' WHERE LEGACY_VENDOR_ID = 'NIVERTME' AND DATA_FOLDER_ID = 'sampl'</v>
      </c>
      <c r="F602" t="str">
        <f t="shared" si="31"/>
        <v>Changed</v>
      </c>
      <c r="G602" t="str">
        <f t="shared" si="32"/>
        <v>-</v>
      </c>
    </row>
    <row r="603" spans="1:7" x14ac:dyDescent="0.25">
      <c r="A603" s="2" t="s">
        <v>1</v>
      </c>
      <c r="B603" s="9" t="s">
        <v>640</v>
      </c>
      <c r="C603" t="s">
        <v>1641</v>
      </c>
      <c r="D603" s="5" t="s">
        <v>2640</v>
      </c>
      <c r="E603" t="str">
        <f t="shared" si="30"/>
        <v>UPDATE [MAP].[T_TRANS_VENDOR] SET NEW_VENDOR_ID = 'V0613' WHERE LEGACY_VENDOR_ID = 'NJDEPTREV' AND DATA_FOLDER_ID = 'sampl'</v>
      </c>
      <c r="F603" t="str">
        <f t="shared" si="31"/>
        <v>Changed</v>
      </c>
      <c r="G603" t="str">
        <f t="shared" si="32"/>
        <v>-</v>
      </c>
    </row>
    <row r="604" spans="1:7" x14ac:dyDescent="0.25">
      <c r="A604" s="2" t="s">
        <v>1</v>
      </c>
      <c r="B604" s="9" t="s">
        <v>641</v>
      </c>
      <c r="C604" t="s">
        <v>1642</v>
      </c>
      <c r="D604" s="5" t="s">
        <v>2641</v>
      </c>
      <c r="E604" t="str">
        <f t="shared" si="30"/>
        <v>UPDATE [MAP].[T_TRANS_VENDOR] SET NEW_VENDOR_ID = 'V0614' WHERE LEGACY_VENDOR_ID = 'NORAMIND' AND DATA_FOLDER_ID = 'sampl'</v>
      </c>
      <c r="F604" t="str">
        <f t="shared" si="31"/>
        <v>Changed</v>
      </c>
      <c r="G604" t="str">
        <f t="shared" si="32"/>
        <v>-</v>
      </c>
    </row>
    <row r="605" spans="1:7" x14ac:dyDescent="0.25">
      <c r="A605" s="2" t="s">
        <v>1</v>
      </c>
      <c r="B605" s="9" t="s">
        <v>642</v>
      </c>
      <c r="C605" t="s">
        <v>1643</v>
      </c>
      <c r="D605" s="5" t="s">
        <v>2642</v>
      </c>
      <c r="E605" t="str">
        <f t="shared" si="30"/>
        <v>UPDATE [MAP].[T_TRANS_VENDOR] SET NEW_VENDOR_ID = 'V0615' WHERE LEGACY_VENDOR_ID = 'NORBUILD' AND DATA_FOLDER_ID = 'sampl'</v>
      </c>
      <c r="F605" t="str">
        <f t="shared" si="31"/>
        <v>Changed</v>
      </c>
      <c r="G605" t="str">
        <f t="shared" si="32"/>
        <v>-</v>
      </c>
    </row>
    <row r="606" spans="1:7" x14ac:dyDescent="0.25">
      <c r="A606" s="2" t="s">
        <v>1</v>
      </c>
      <c r="B606" s="9" t="s">
        <v>643</v>
      </c>
      <c r="C606" t="s">
        <v>1644</v>
      </c>
      <c r="D606" s="5" t="s">
        <v>2643</v>
      </c>
      <c r="E606" t="str">
        <f t="shared" si="30"/>
        <v>UPDATE [MAP].[T_TRANS_VENDOR] SET NEW_VENDOR_ID = 'V0616' WHERE LEGACY_VENDOR_ID = 'NORRIS' AND DATA_FOLDER_ID = 'sampl'</v>
      </c>
      <c r="F606" t="str">
        <f t="shared" si="31"/>
        <v>Changed</v>
      </c>
      <c r="G606" t="str">
        <f t="shared" si="32"/>
        <v>-</v>
      </c>
    </row>
    <row r="607" spans="1:7" x14ac:dyDescent="0.25">
      <c r="A607" s="2" t="s">
        <v>1</v>
      </c>
      <c r="B607" s="9" t="s">
        <v>644</v>
      </c>
      <c r="C607" t="s">
        <v>1645</v>
      </c>
      <c r="D607" s="5" t="s">
        <v>2644</v>
      </c>
      <c r="E607" t="str">
        <f t="shared" si="30"/>
        <v>UPDATE [MAP].[T_TRANS_VENDOR] SET NEW_VENDOR_ID = 'V0617' WHERE LEGACY_VENDOR_ID = 'NORTHEAST' AND DATA_FOLDER_ID = 'sampl'</v>
      </c>
      <c r="F607" t="str">
        <f t="shared" si="31"/>
        <v>Changed</v>
      </c>
      <c r="G607" t="str">
        <f t="shared" si="32"/>
        <v>-</v>
      </c>
    </row>
    <row r="608" spans="1:7" x14ac:dyDescent="0.25">
      <c r="A608" s="2" t="s">
        <v>1</v>
      </c>
      <c r="B608" s="9" t="s">
        <v>645</v>
      </c>
      <c r="C608" t="s">
        <v>1646</v>
      </c>
      <c r="D608" s="5" t="s">
        <v>2645</v>
      </c>
      <c r="E608" t="str">
        <f t="shared" si="30"/>
        <v>UPDATE [MAP].[T_TRANS_VENDOR] SET NEW_VENDOR_ID = 'V0618' WHERE LEGACY_VENDOR_ID = 'NORTHEND' AND DATA_FOLDER_ID = 'sampl'</v>
      </c>
      <c r="F608" t="str">
        <f t="shared" si="31"/>
        <v>Changed</v>
      </c>
      <c r="G608" t="str">
        <f t="shared" si="32"/>
        <v>-</v>
      </c>
    </row>
    <row r="609" spans="1:7" x14ac:dyDescent="0.25">
      <c r="A609" s="2" t="s">
        <v>1</v>
      </c>
      <c r="B609" s="9" t="s">
        <v>646</v>
      </c>
      <c r="C609" t="s">
        <v>1647</v>
      </c>
      <c r="D609" s="5" t="s">
        <v>2646</v>
      </c>
      <c r="E609" t="str">
        <f t="shared" si="30"/>
        <v>UPDATE [MAP].[T_TRANS_VENDOR] SET NEW_VENDOR_ID = 'V0619' WHERE LEGACY_VENDOR_ID = 'NOTOELEC' AND DATA_FOLDER_ID = 'sampl'</v>
      </c>
      <c r="F609" t="str">
        <f t="shared" si="31"/>
        <v>Changed</v>
      </c>
      <c r="G609" t="str">
        <f t="shared" si="32"/>
        <v>-</v>
      </c>
    </row>
    <row r="610" spans="1:7" x14ac:dyDescent="0.25">
      <c r="A610" s="2" t="s">
        <v>1</v>
      </c>
      <c r="B610" s="9" t="s">
        <v>647</v>
      </c>
      <c r="C610" t="s">
        <v>1648</v>
      </c>
      <c r="D610" s="5" t="s">
        <v>2647</v>
      </c>
      <c r="E610" t="str">
        <f t="shared" si="30"/>
        <v>UPDATE [MAP].[T_TRANS_VENDOR] SET NEW_VENDOR_ID = 'V0620' WHERE LEGACY_VENDOR_ID = 'NOVACRET' AND DATA_FOLDER_ID = 'sampl'</v>
      </c>
      <c r="F610" t="str">
        <f t="shared" si="31"/>
        <v>Changed</v>
      </c>
      <c r="G610" t="str">
        <f t="shared" si="32"/>
        <v>-</v>
      </c>
    </row>
    <row r="611" spans="1:7" x14ac:dyDescent="0.25">
      <c r="A611" s="2" t="s">
        <v>1</v>
      </c>
      <c r="B611" s="9" t="s">
        <v>648</v>
      </c>
      <c r="C611" t="s">
        <v>1649</v>
      </c>
      <c r="D611" s="5" t="s">
        <v>2648</v>
      </c>
      <c r="E611" t="str">
        <f t="shared" si="30"/>
        <v>UPDATE [MAP].[T_TRANS_VENDOR] SET NEW_VENDOR_ID = 'V0621' WHERE LEGACY_VENDOR_ID = 'NSCORPOR' AND DATA_FOLDER_ID = 'sampl'</v>
      </c>
      <c r="F611" t="str">
        <f t="shared" si="31"/>
        <v>Changed</v>
      </c>
      <c r="G611" t="str">
        <f t="shared" si="32"/>
        <v>-</v>
      </c>
    </row>
    <row r="612" spans="1:7" x14ac:dyDescent="0.25">
      <c r="A612" s="2" t="s">
        <v>1</v>
      </c>
      <c r="B612" s="9" t="s">
        <v>649</v>
      </c>
      <c r="C612" t="s">
        <v>1650</v>
      </c>
      <c r="D612" s="5" t="s">
        <v>2649</v>
      </c>
      <c r="E612" t="str">
        <f t="shared" si="30"/>
        <v>UPDATE [MAP].[T_TRANS_VENDOR] SET NEW_VENDOR_ID = 'V0622' WHERE LEGACY_VENDOR_ID = 'NUCORHAR' AND DATA_FOLDER_ID = 'sampl'</v>
      </c>
      <c r="F612" t="str">
        <f t="shared" si="31"/>
        <v>Changed</v>
      </c>
      <c r="G612" t="str">
        <f t="shared" si="32"/>
        <v>-</v>
      </c>
    </row>
    <row r="613" spans="1:7" x14ac:dyDescent="0.25">
      <c r="A613" s="2" t="s">
        <v>1</v>
      </c>
      <c r="B613" s="9" t="s">
        <v>650</v>
      </c>
      <c r="C613" t="s">
        <v>1651</v>
      </c>
      <c r="D613" s="5" t="s">
        <v>2650</v>
      </c>
      <c r="E613" t="str">
        <f t="shared" si="30"/>
        <v>UPDATE [MAP].[T_TRANS_VENDOR] SET NEW_VENDOR_ID = 'V0623' WHERE LEGACY_VENDOR_ID = 'NUNZISAD' AND DATA_FOLDER_ID = 'sampl'</v>
      </c>
      <c r="F613" t="str">
        <f t="shared" si="31"/>
        <v>Changed</v>
      </c>
      <c r="G613" t="str">
        <f t="shared" si="32"/>
        <v>-</v>
      </c>
    </row>
    <row r="614" spans="1:7" x14ac:dyDescent="0.25">
      <c r="A614" s="2" t="s">
        <v>1</v>
      </c>
      <c r="B614" s="9" t="s">
        <v>651</v>
      </c>
      <c r="C614" t="s">
        <v>1652</v>
      </c>
      <c r="D614" s="5" t="s">
        <v>2651</v>
      </c>
      <c r="E614" t="str">
        <f t="shared" si="30"/>
        <v>UPDATE [MAP].[T_TRANS_VENDOR] SET NEW_VENDOR_ID = 'V0624' WHERE LEGACY_VENDOR_ID = 'NYCOMINC' AND DATA_FOLDER_ID = 'sampl'</v>
      </c>
      <c r="F614" t="str">
        <f t="shared" si="31"/>
        <v>Changed</v>
      </c>
      <c r="G614" t="str">
        <f t="shared" si="32"/>
        <v>-</v>
      </c>
    </row>
    <row r="615" spans="1:7" x14ac:dyDescent="0.25">
      <c r="A615" s="2" t="s">
        <v>1</v>
      </c>
      <c r="B615" s="9" t="s">
        <v>652</v>
      </c>
      <c r="C615" t="s">
        <v>1653</v>
      </c>
      <c r="D615" s="5" t="s">
        <v>2652</v>
      </c>
      <c r="E615" t="str">
        <f t="shared" si="30"/>
        <v>UPDATE [MAP].[T_TRANS_VENDOR] SET NEW_VENDOR_ID = 'V0625' WHERE LEGACY_VENDOR_ID = 'NYSDEPTTAX' AND DATA_FOLDER_ID = 'sampl'</v>
      </c>
      <c r="F615" t="str">
        <f t="shared" si="31"/>
        <v>Changed</v>
      </c>
      <c r="G615" t="str">
        <f t="shared" si="32"/>
        <v>-</v>
      </c>
    </row>
    <row r="616" spans="1:7" x14ac:dyDescent="0.25">
      <c r="A616" s="2" t="s">
        <v>1</v>
      </c>
      <c r="B616" s="9" t="s">
        <v>653</v>
      </c>
      <c r="C616" t="s">
        <v>1654</v>
      </c>
      <c r="D616" s="5" t="s">
        <v>2653</v>
      </c>
      <c r="E616" t="str">
        <f t="shared" si="30"/>
        <v>UPDATE [MAP].[T_TRANS_VENDOR] SET NEW_VENDOR_ID = 'V0626' WHERE LEGACY_VENDOR_ID = 'NYSTROMI' AND DATA_FOLDER_ID = 'sampl'</v>
      </c>
      <c r="F616" t="str">
        <f t="shared" si="31"/>
        <v>Changed</v>
      </c>
      <c r="G616" t="str">
        <f t="shared" si="32"/>
        <v>-</v>
      </c>
    </row>
    <row r="617" spans="1:7" x14ac:dyDescent="0.25">
      <c r="A617" s="2" t="s">
        <v>1</v>
      </c>
      <c r="B617" s="9" t="s">
        <v>654</v>
      </c>
      <c r="C617" t="s">
        <v>1655</v>
      </c>
      <c r="D617" s="5" t="s">
        <v>2654</v>
      </c>
      <c r="E617" t="str">
        <f t="shared" si="30"/>
        <v>UPDATE [MAP].[T_TRANS_VENDOR] SET NEW_VENDOR_ID = 'V0628' WHERE LEGACY_VENDOR_ID = 'OCCUPANJ' AND DATA_FOLDER_ID = 'sampl'</v>
      </c>
      <c r="F617" t="str">
        <f t="shared" si="31"/>
        <v>Changed</v>
      </c>
      <c r="G617" t="str">
        <f t="shared" si="32"/>
        <v>-</v>
      </c>
    </row>
    <row r="618" spans="1:7" x14ac:dyDescent="0.25">
      <c r="A618" s="2" t="s">
        <v>1</v>
      </c>
      <c r="B618" s="9" t="s">
        <v>655</v>
      </c>
      <c r="C618" t="s">
        <v>1656</v>
      </c>
      <c r="D618" s="5" t="s">
        <v>2655</v>
      </c>
      <c r="E618" t="str">
        <f t="shared" si="30"/>
        <v>UPDATE [MAP].[T_TRANS_VENDOR] SET NEW_VENDOR_ID = 'V0630' WHERE LEGACY_VENDOR_ID = 'OHDCLANC' AND DATA_FOLDER_ID = 'sampl'</v>
      </c>
      <c r="F618" t="str">
        <f t="shared" si="31"/>
        <v>Changed</v>
      </c>
      <c r="G618" t="str">
        <f t="shared" si="32"/>
        <v>-</v>
      </c>
    </row>
    <row r="619" spans="1:7" x14ac:dyDescent="0.25">
      <c r="A619" s="2" t="s">
        <v>1</v>
      </c>
      <c r="B619" s="9" t="s">
        <v>656</v>
      </c>
      <c r="C619" t="s">
        <v>1657</v>
      </c>
      <c r="D619" s="5" t="s">
        <v>2656</v>
      </c>
      <c r="E619" t="str">
        <f t="shared" si="30"/>
        <v>UPDATE [MAP].[T_TRANS_VENDOR] SET NEW_VENDOR_ID = 'V0631' WHERE LEGACY_VENDOR_ID = 'OHIOCASU' AND DATA_FOLDER_ID = 'sampl'</v>
      </c>
      <c r="F619" t="str">
        <f t="shared" si="31"/>
        <v>Changed</v>
      </c>
      <c r="G619" t="str">
        <f t="shared" si="32"/>
        <v>-</v>
      </c>
    </row>
    <row r="620" spans="1:7" x14ac:dyDescent="0.25">
      <c r="A620" s="2" t="s">
        <v>1</v>
      </c>
      <c r="B620" s="9" t="s">
        <v>657</v>
      </c>
      <c r="C620" t="s">
        <v>1658</v>
      </c>
      <c r="D620" s="5" t="s">
        <v>2657</v>
      </c>
      <c r="E620" t="str">
        <f t="shared" si="30"/>
        <v>UPDATE [MAP].[T_TRANS_VENDOR] SET NEW_VENDOR_ID = 'V0632' WHERE LEGACY_VENDOR_ID = 'OLEYINDU' AND DATA_FOLDER_ID = 'sampl'</v>
      </c>
      <c r="F620" t="str">
        <f t="shared" si="31"/>
        <v>Changed</v>
      </c>
      <c r="G620" t="str">
        <f t="shared" si="32"/>
        <v>-</v>
      </c>
    </row>
    <row r="621" spans="1:7" x14ac:dyDescent="0.25">
      <c r="A621" s="2" t="s">
        <v>1</v>
      </c>
      <c r="B621" s="9" t="s">
        <v>658</v>
      </c>
      <c r="C621" t="s">
        <v>1659</v>
      </c>
      <c r="D621" s="5" t="s">
        <v>2658</v>
      </c>
      <c r="E621" t="str">
        <f t="shared" si="30"/>
        <v>UPDATE [MAP].[T_TRANS_VENDOR] SET NEW_VENDOR_ID = 'V0633' WHERE LEGACY_VENDOR_ID = 'OLIVERFI' AND DATA_FOLDER_ID = 'sampl'</v>
      </c>
      <c r="F621" t="str">
        <f t="shared" si="31"/>
        <v>Changed</v>
      </c>
      <c r="G621" t="str">
        <f t="shared" si="32"/>
        <v>-</v>
      </c>
    </row>
    <row r="622" spans="1:7" x14ac:dyDescent="0.25">
      <c r="A622" s="2" t="s">
        <v>1</v>
      </c>
      <c r="B622" s="9" t="s">
        <v>659</v>
      </c>
      <c r="C622" t="s">
        <v>1660</v>
      </c>
      <c r="D622" s="5" t="s">
        <v>2659</v>
      </c>
      <c r="E622" t="str">
        <f t="shared" si="30"/>
        <v>UPDATE [MAP].[T_TRANS_VENDOR] SET NEW_VENDOR_ID = 'V0634' WHERE LEGACY_VENDOR_ID = 'OMPSTOWI' AND DATA_FOLDER_ID = 'sampl'</v>
      </c>
      <c r="F622" t="str">
        <f t="shared" si="31"/>
        <v>Changed</v>
      </c>
      <c r="G622" t="str">
        <f t="shared" si="32"/>
        <v>-</v>
      </c>
    </row>
    <row r="623" spans="1:7" x14ac:dyDescent="0.25">
      <c r="A623" s="2" t="s">
        <v>1</v>
      </c>
      <c r="B623" s="9" t="s">
        <v>660</v>
      </c>
      <c r="C623" t="s">
        <v>1661</v>
      </c>
      <c r="D623" s="5" t="s">
        <v>2660</v>
      </c>
      <c r="E623" t="str">
        <f t="shared" si="30"/>
        <v>UPDATE [MAP].[T_TRANS_VENDOR] SET NEW_VENDOR_ID = 'V0635' WHERE LEGACY_VENDOR_ID = 'ONETIME' AND DATA_FOLDER_ID = 'sampl'</v>
      </c>
      <c r="F623" t="str">
        <f t="shared" si="31"/>
        <v>Changed</v>
      </c>
      <c r="G623" t="str">
        <f t="shared" si="32"/>
        <v>-</v>
      </c>
    </row>
    <row r="624" spans="1:7" x14ac:dyDescent="0.25">
      <c r="A624" s="2" t="s">
        <v>1</v>
      </c>
      <c r="B624" s="9" t="s">
        <v>661</v>
      </c>
      <c r="C624" t="s">
        <v>1662</v>
      </c>
      <c r="D624" s="5" t="s">
        <v>2661</v>
      </c>
      <c r="E624" t="str">
        <f t="shared" si="30"/>
        <v>UPDATE [MAP].[T_TRANS_VENDOR] SET NEW_VENDOR_ID = 'V0636' WHERE LEGACY_VENDOR_ID = 'ORERENTA' AND DATA_FOLDER_ID = 'sampl'</v>
      </c>
      <c r="F624" t="str">
        <f t="shared" si="31"/>
        <v>Changed</v>
      </c>
      <c r="G624" t="str">
        <f t="shared" si="32"/>
        <v>-</v>
      </c>
    </row>
    <row r="625" spans="1:7" x14ac:dyDescent="0.25">
      <c r="A625" s="2" t="s">
        <v>1</v>
      </c>
      <c r="B625" s="9" t="s">
        <v>662</v>
      </c>
      <c r="C625" t="s">
        <v>1663</v>
      </c>
      <c r="D625" s="5" t="s">
        <v>2662</v>
      </c>
      <c r="E625" t="str">
        <f t="shared" si="30"/>
        <v>UPDATE [MAP].[T_TRANS_VENDOR] SET NEW_VENDOR_ID = 'V0637' WHERE LEGACY_VENDOR_ID = 'ORLATRUS' AND DATA_FOLDER_ID = 'sampl'</v>
      </c>
      <c r="F625" t="str">
        <f t="shared" si="31"/>
        <v>Changed</v>
      </c>
      <c r="G625" t="str">
        <f t="shared" si="32"/>
        <v>-</v>
      </c>
    </row>
    <row r="626" spans="1:7" x14ac:dyDescent="0.25">
      <c r="A626" s="2" t="s">
        <v>1</v>
      </c>
      <c r="B626" s="9" t="s">
        <v>663</v>
      </c>
      <c r="C626" t="s">
        <v>1664</v>
      </c>
      <c r="D626" s="5" t="s">
        <v>2663</v>
      </c>
      <c r="E626" t="str">
        <f t="shared" si="30"/>
        <v>UPDATE [MAP].[T_TRANS_VENDOR] SET NEW_VENDOR_ID = 'V0638' WHERE LEGACY_VENDOR_ID = 'orlatruss' AND DATA_FOLDER_ID = 'sampl'</v>
      </c>
      <c r="F626" t="str">
        <f t="shared" si="31"/>
        <v>Changed</v>
      </c>
      <c r="G626" t="str">
        <f t="shared" si="32"/>
        <v>-</v>
      </c>
    </row>
    <row r="627" spans="1:7" x14ac:dyDescent="0.25">
      <c r="A627" s="2" t="s">
        <v>1</v>
      </c>
      <c r="B627" s="9" t="s">
        <v>664</v>
      </c>
      <c r="C627" t="s">
        <v>1665</v>
      </c>
      <c r="D627" s="5" t="s">
        <v>2664</v>
      </c>
      <c r="E627" t="str">
        <f t="shared" si="30"/>
        <v>UPDATE [MAP].[T_TRANS_VENDOR] SET NEW_VENDOR_ID = 'V0639' WHERE LEGACY_VENDOR_ID = 'ORRINDUS' AND DATA_FOLDER_ID = 'sampl'</v>
      </c>
      <c r="F627" t="str">
        <f t="shared" si="31"/>
        <v>Changed</v>
      </c>
      <c r="G627" t="str">
        <f t="shared" si="32"/>
        <v>-</v>
      </c>
    </row>
    <row r="628" spans="1:7" x14ac:dyDescent="0.25">
      <c r="A628" s="2" t="s">
        <v>1</v>
      </c>
      <c r="B628" s="9" t="s">
        <v>665</v>
      </c>
      <c r="C628" t="s">
        <v>1666</v>
      </c>
      <c r="D628" s="5" t="s">
        <v>2665</v>
      </c>
      <c r="E628" t="str">
        <f t="shared" si="30"/>
        <v>UPDATE [MAP].[T_TRANS_VENDOR] SET NEW_VENDOR_ID = 'V0640' WHERE LEGACY_VENDOR_ID = 'OTISELEV' AND DATA_FOLDER_ID = 'sampl'</v>
      </c>
      <c r="F628" t="str">
        <f t="shared" si="31"/>
        <v>Changed</v>
      </c>
      <c r="G628" t="str">
        <f t="shared" si="32"/>
        <v>-</v>
      </c>
    </row>
    <row r="629" spans="1:7" x14ac:dyDescent="0.25">
      <c r="A629" s="2" t="s">
        <v>1</v>
      </c>
      <c r="B629" s="9" t="s">
        <v>666</v>
      </c>
      <c r="C629" t="s">
        <v>1667</v>
      </c>
      <c r="D629" s="5" t="s">
        <v>2666</v>
      </c>
      <c r="E629" t="str">
        <f t="shared" si="30"/>
        <v>UPDATE [MAP].[T_TRANS_VENDOR] SET NEW_VENDOR_ID = 'V0641' WHERE LEGACY_VENDOR_ID = 'OURLADYSC' AND DATA_FOLDER_ID = 'sampl'</v>
      </c>
      <c r="F629" t="str">
        <f t="shared" si="31"/>
        <v>Changed</v>
      </c>
      <c r="G629" t="str">
        <f t="shared" si="32"/>
        <v>-</v>
      </c>
    </row>
    <row r="630" spans="1:7" x14ac:dyDescent="0.25">
      <c r="A630" s="2" t="s">
        <v>1</v>
      </c>
      <c r="B630" s="9" t="s">
        <v>667</v>
      </c>
      <c r="C630" t="s">
        <v>1668</v>
      </c>
      <c r="D630" s="5" t="s">
        <v>2667</v>
      </c>
      <c r="E630" t="str">
        <f t="shared" si="30"/>
        <v>UPDATE [MAP].[T_TRANS_VENDOR] SET NEW_VENDOR_ID = 'V0642' WHERE LEGACY_VENDOR_ID = 'OVERCORP' AND DATA_FOLDER_ID = 'sampl'</v>
      </c>
      <c r="F630" t="str">
        <f t="shared" si="31"/>
        <v>Changed</v>
      </c>
      <c r="G630" t="str">
        <f t="shared" si="32"/>
        <v>-</v>
      </c>
    </row>
    <row r="631" spans="1:7" x14ac:dyDescent="0.25">
      <c r="A631" s="2" t="s">
        <v>1</v>
      </c>
      <c r="B631" s="9" t="s">
        <v>668</v>
      </c>
      <c r="C631" t="s">
        <v>1669</v>
      </c>
      <c r="D631" s="5" t="s">
        <v>2668</v>
      </c>
      <c r="E631" t="str">
        <f t="shared" si="30"/>
        <v>UPDATE [MAP].[T_TRANS_VENDOR] SET NEW_VENDOR_ID = 'V0643' WHERE LEGACY_VENDOR_ID = 'OVERDOOR' AND DATA_FOLDER_ID = 'sampl'</v>
      </c>
      <c r="F631" t="str">
        <f t="shared" si="31"/>
        <v>Changed</v>
      </c>
      <c r="G631" t="str">
        <f t="shared" si="32"/>
        <v>-</v>
      </c>
    </row>
    <row r="632" spans="1:7" x14ac:dyDescent="0.25">
      <c r="A632" s="2" t="s">
        <v>1</v>
      </c>
      <c r="B632" s="9" t="s">
        <v>669</v>
      </c>
      <c r="C632" t="s">
        <v>1670</v>
      </c>
      <c r="D632" s="5" t="s">
        <v>2669</v>
      </c>
      <c r="E632" t="str">
        <f t="shared" si="30"/>
        <v>UPDATE [MAP].[T_TRANS_VENDOR] SET NEW_VENDOR_ID = 'V0644' WHERE LEGACY_VENDOR_ID = 'OVERREAD' AND DATA_FOLDER_ID = 'sampl'</v>
      </c>
      <c r="F632" t="str">
        <f t="shared" si="31"/>
        <v>Changed</v>
      </c>
      <c r="G632" t="str">
        <f t="shared" si="32"/>
        <v>-</v>
      </c>
    </row>
    <row r="633" spans="1:7" x14ac:dyDescent="0.25">
      <c r="A633" s="2" t="s">
        <v>1</v>
      </c>
      <c r="B633" s="9" t="s">
        <v>670</v>
      </c>
      <c r="C633" t="s">
        <v>1671</v>
      </c>
      <c r="D633" s="5" t="s">
        <v>2670</v>
      </c>
      <c r="E633" t="str">
        <f t="shared" si="30"/>
        <v>UPDATE [MAP].[T_TRANS_VENDOR] SET NEW_VENDOR_ID = 'V0645' WHERE LEGACY_VENDOR_ID = 'OVERTHET' AND DATA_FOLDER_ID = 'sampl'</v>
      </c>
      <c r="F633" t="str">
        <f t="shared" si="31"/>
        <v>Changed</v>
      </c>
      <c r="G633" t="str">
        <f t="shared" si="32"/>
        <v>-</v>
      </c>
    </row>
    <row r="634" spans="1:7" x14ac:dyDescent="0.25">
      <c r="A634" s="2" t="s">
        <v>1</v>
      </c>
      <c r="B634" s="9" t="s">
        <v>671</v>
      </c>
      <c r="C634" t="s">
        <v>671</v>
      </c>
      <c r="D634" s="5" t="s">
        <v>2671</v>
      </c>
      <c r="E634" t="str">
        <f t="shared" si="30"/>
        <v>UPDATE [MAP].[T_TRANS_VENDOR] SET NEW_VENDOR_ID = 'V0646' WHERE LEGACY_VENDOR_ID = 'PAMSCO' AND DATA_FOLDER_ID = 'sampl'</v>
      </c>
      <c r="F634" t="str">
        <f t="shared" si="31"/>
        <v>Changed</v>
      </c>
      <c r="G634" t="str">
        <f t="shared" si="32"/>
        <v>-</v>
      </c>
    </row>
    <row r="635" spans="1:7" x14ac:dyDescent="0.25">
      <c r="A635" s="2" t="s">
        <v>1</v>
      </c>
      <c r="B635" s="9" t="s">
        <v>672</v>
      </c>
      <c r="C635" t="s">
        <v>1672</v>
      </c>
      <c r="D635" s="5" t="s">
        <v>2672</v>
      </c>
      <c r="E635" t="str">
        <f t="shared" si="30"/>
        <v>UPDATE [MAP].[T_TRANS_VENDOR] SET NEW_VENDOR_ID = 'V0647' WHERE LEGACY_VENDOR_ID = 'PANHANDL' AND DATA_FOLDER_ID = 'sampl'</v>
      </c>
      <c r="F635" t="str">
        <f t="shared" si="31"/>
        <v>Changed</v>
      </c>
      <c r="G635" t="str">
        <f t="shared" si="32"/>
        <v>-</v>
      </c>
    </row>
    <row r="636" spans="1:7" x14ac:dyDescent="0.25">
      <c r="A636" s="2" t="s">
        <v>1</v>
      </c>
      <c r="B636" s="9" t="s">
        <v>673</v>
      </c>
      <c r="C636" t="s">
        <v>1673</v>
      </c>
      <c r="D636" s="5" t="s">
        <v>2673</v>
      </c>
      <c r="E636" t="str">
        <f t="shared" si="30"/>
        <v>UPDATE [MAP].[T_TRANS_VENDOR] SET NEW_VENDOR_ID = 'V0648' WHERE LEGACY_VENDOR_ID = 'PAPKESCU' AND DATA_FOLDER_ID = 'sampl'</v>
      </c>
      <c r="F636" t="str">
        <f t="shared" si="31"/>
        <v>Changed</v>
      </c>
      <c r="G636" t="str">
        <f t="shared" si="32"/>
        <v>-</v>
      </c>
    </row>
    <row r="637" spans="1:7" x14ac:dyDescent="0.25">
      <c r="A637" s="2" t="s">
        <v>1</v>
      </c>
      <c r="B637" s="9" t="s">
        <v>674</v>
      </c>
      <c r="C637" t="s">
        <v>1674</v>
      </c>
      <c r="D637" s="5" t="s">
        <v>2674</v>
      </c>
      <c r="E637" t="str">
        <f t="shared" si="30"/>
        <v>UPDATE [MAP].[T_TRANS_VENDOR] SET NEW_VENDOR_ID = 'V0649' WHERE LEGACY_VENDOR_ID = 'PARADIGM' AND DATA_FOLDER_ID = 'sampl'</v>
      </c>
      <c r="F637" t="str">
        <f t="shared" si="31"/>
        <v>Changed</v>
      </c>
      <c r="G637" t="str">
        <f t="shared" si="32"/>
        <v>-</v>
      </c>
    </row>
    <row r="638" spans="1:7" x14ac:dyDescent="0.25">
      <c r="A638" s="2" t="s">
        <v>1</v>
      </c>
      <c r="B638" s="9" t="s">
        <v>675</v>
      </c>
      <c r="C638" t="s">
        <v>1675</v>
      </c>
      <c r="D638" s="5" t="s">
        <v>2675</v>
      </c>
      <c r="E638" t="str">
        <f t="shared" si="30"/>
        <v>UPDATE [MAP].[T_TRANS_VENDOR] SET NEW_VENDOR_ID = 'V0650' WHERE LEGACY_VENDOR_ID = 'PARTITIO' AND DATA_FOLDER_ID = 'sampl'</v>
      </c>
      <c r="F638" t="str">
        <f t="shared" si="31"/>
        <v>Changed</v>
      </c>
      <c r="G638" t="str">
        <f t="shared" si="32"/>
        <v>-</v>
      </c>
    </row>
    <row r="639" spans="1:7" x14ac:dyDescent="0.25">
      <c r="A639" s="2" t="s">
        <v>1</v>
      </c>
      <c r="B639" s="9" t="s">
        <v>676</v>
      </c>
      <c r="C639" t="s">
        <v>1676</v>
      </c>
      <c r="D639" s="5" t="s">
        <v>2676</v>
      </c>
      <c r="E639" t="str">
        <f t="shared" si="30"/>
        <v>UPDATE [MAP].[T_TRANS_VENDOR] SET NEW_VENDOR_ID = 'V0651' WHERE LEGACY_VENDOR_ID = 'PARTNEREQU' AND DATA_FOLDER_ID = 'sampl'</v>
      </c>
      <c r="F639" t="str">
        <f t="shared" si="31"/>
        <v>Changed</v>
      </c>
      <c r="G639" t="str">
        <f t="shared" si="32"/>
        <v>-</v>
      </c>
    </row>
    <row r="640" spans="1:7" x14ac:dyDescent="0.25">
      <c r="A640" s="2" t="s">
        <v>1</v>
      </c>
      <c r="B640" s="9" t="s">
        <v>677</v>
      </c>
      <c r="C640" t="s">
        <v>1677</v>
      </c>
      <c r="D640" s="5" t="s">
        <v>2677</v>
      </c>
      <c r="E640" t="str">
        <f t="shared" si="30"/>
        <v>UPDATE [MAP].[T_TRANS_VENDOR] SET NEW_VENDOR_ID = 'V0653' WHERE LEGACY_VENDOR_ID = 'PASIGNSLLC' AND DATA_FOLDER_ID = 'sampl'</v>
      </c>
      <c r="F640" t="str">
        <f t="shared" si="31"/>
        <v>Changed</v>
      </c>
      <c r="G640" t="str">
        <f t="shared" si="32"/>
        <v>-</v>
      </c>
    </row>
    <row r="641" spans="1:7" x14ac:dyDescent="0.25">
      <c r="A641" s="2" t="s">
        <v>1</v>
      </c>
      <c r="B641" s="9" t="s">
        <v>678</v>
      </c>
      <c r="C641" t="s">
        <v>1678</v>
      </c>
      <c r="D641" s="5" t="s">
        <v>2678</v>
      </c>
      <c r="E641" t="str">
        <f t="shared" si="30"/>
        <v>UPDATE [MAP].[T_TRANS_VENDOR] SET NEW_VENDOR_ID = 'V0654' WHERE LEGACY_VENDOR_ID = 'PEAKUTIL' AND DATA_FOLDER_ID = 'sampl'</v>
      </c>
      <c r="F641" t="str">
        <f t="shared" si="31"/>
        <v>Changed</v>
      </c>
      <c r="G641" t="str">
        <f t="shared" si="32"/>
        <v>-</v>
      </c>
    </row>
    <row r="642" spans="1:7" x14ac:dyDescent="0.25">
      <c r="A642" s="2" t="s">
        <v>1</v>
      </c>
      <c r="B642" s="9" t="s">
        <v>679</v>
      </c>
      <c r="C642" t="s">
        <v>1679</v>
      </c>
      <c r="D642" s="5" t="s">
        <v>2679</v>
      </c>
      <c r="E642" t="str">
        <f t="shared" si="30"/>
        <v>UPDATE [MAP].[T_TRANS_VENDOR] SET NEW_VENDOR_ID = 'V0655' WHERE LEGACY_VENDOR_ID = 'PEARLMEY' AND DATA_FOLDER_ID = 'sampl'</v>
      </c>
      <c r="F642" t="str">
        <f t="shared" si="31"/>
        <v>Changed</v>
      </c>
      <c r="G642" t="str">
        <f t="shared" si="32"/>
        <v>-</v>
      </c>
    </row>
    <row r="643" spans="1:7" x14ac:dyDescent="0.25">
      <c r="A643" s="2" t="s">
        <v>1</v>
      </c>
      <c r="B643" s="9" t="s">
        <v>680</v>
      </c>
      <c r="C643" t="s">
        <v>1680</v>
      </c>
      <c r="D643" s="5" t="s">
        <v>2680</v>
      </c>
      <c r="E643" t="str">
        <f t="shared" si="30"/>
        <v>UPDATE [MAP].[T_TRANS_VENDOR] SET NEW_VENDOR_ID = 'V0656' WHERE LEGACY_VENDOR_ID = 'PELLAPRO' AND DATA_FOLDER_ID = 'sampl'</v>
      </c>
      <c r="F643" t="str">
        <f t="shared" si="31"/>
        <v>Changed</v>
      </c>
      <c r="G643" t="str">
        <f t="shared" si="32"/>
        <v>-</v>
      </c>
    </row>
    <row r="644" spans="1:7" x14ac:dyDescent="0.25">
      <c r="A644" s="2" t="s">
        <v>1</v>
      </c>
      <c r="B644" s="9" t="s">
        <v>681</v>
      </c>
      <c r="C644" t="s">
        <v>1681</v>
      </c>
      <c r="D644" s="5" t="s">
        <v>2681</v>
      </c>
      <c r="E644" t="str">
        <f t="shared" si="30"/>
        <v>UPDATE [MAP].[T_TRANS_VENDOR] SET NEW_VENDOR_ID = 'V0657' WHERE LEGACY_VENDOR_ID = 'PELLAWIN' AND DATA_FOLDER_ID = 'sampl'</v>
      </c>
      <c r="F644" t="str">
        <f t="shared" si="31"/>
        <v>Changed</v>
      </c>
      <c r="G644" t="str">
        <f t="shared" si="32"/>
        <v>-</v>
      </c>
    </row>
    <row r="645" spans="1:7" x14ac:dyDescent="0.25">
      <c r="A645" s="2" t="s">
        <v>1</v>
      </c>
      <c r="B645" s="9" t="s">
        <v>682</v>
      </c>
      <c r="C645" t="s">
        <v>1682</v>
      </c>
      <c r="D645" s="5" t="s">
        <v>2682</v>
      </c>
      <c r="E645" t="str">
        <f t="shared" si="30"/>
        <v>UPDATE [MAP].[T_TRANS_VENDOR] SET NEW_VENDOR_ID = 'V0658' WHERE LEGACY_VENDOR_ID = 'PENAPLAS' AND DATA_FOLDER_ID = 'sampl'</v>
      </c>
      <c r="F645" t="str">
        <f t="shared" si="31"/>
        <v>Changed</v>
      </c>
      <c r="G645" t="str">
        <f t="shared" si="32"/>
        <v>-</v>
      </c>
    </row>
    <row r="646" spans="1:7" x14ac:dyDescent="0.25">
      <c r="A646" s="2" t="s">
        <v>1</v>
      </c>
      <c r="B646" s="9" t="s">
        <v>683</v>
      </c>
      <c r="C646" t="s">
        <v>1683</v>
      </c>
      <c r="D646" s="5" t="s">
        <v>2683</v>
      </c>
      <c r="E646" t="str">
        <f t="shared" si="30"/>
        <v>UPDATE [MAP].[T_TRANS_VENDOR] SET NEW_VENDOR_ID = 'V0659' WHERE LEGACY_VENDOR_ID = 'PENNAMER' AND DATA_FOLDER_ID = 'sampl'</v>
      </c>
      <c r="F646" t="str">
        <f t="shared" si="31"/>
        <v>Changed</v>
      </c>
      <c r="G646" t="str">
        <f t="shared" si="32"/>
        <v>-</v>
      </c>
    </row>
    <row r="647" spans="1:7" x14ac:dyDescent="0.25">
      <c r="A647" s="2" t="s">
        <v>1</v>
      </c>
      <c r="B647" s="9" t="s">
        <v>684</v>
      </c>
      <c r="C647" t="s">
        <v>1684</v>
      </c>
      <c r="D647" s="5" t="s">
        <v>2684</v>
      </c>
      <c r="E647" t="str">
        <f t="shared" si="30"/>
        <v>UPDATE [MAP].[T_TRANS_VENDOR] SET NEW_VENDOR_ID = 'V0660' WHERE LEGACY_VENDOR_ID = 'PENNEQUI' AND DATA_FOLDER_ID = 'sampl'</v>
      </c>
      <c r="F647" t="str">
        <f t="shared" si="31"/>
        <v>Changed</v>
      </c>
      <c r="G647" t="str">
        <f t="shared" si="32"/>
        <v>-</v>
      </c>
    </row>
    <row r="648" spans="1:7" x14ac:dyDescent="0.25">
      <c r="A648" s="2" t="s">
        <v>1</v>
      </c>
      <c r="B648" s="9" t="s">
        <v>685</v>
      </c>
      <c r="C648" t="s">
        <v>1685</v>
      </c>
      <c r="D648" s="5" t="s">
        <v>2685</v>
      </c>
      <c r="E648" t="str">
        <f t="shared" si="30"/>
        <v>UPDATE [MAP].[T_TRANS_VENDOR] SET NEW_VENDOR_ID = 'V0661' WHERE LEGACY_VENDOR_ID = 'PENNNORTH' AND DATA_FOLDER_ID = 'sampl'</v>
      </c>
      <c r="F648" t="str">
        <f t="shared" si="31"/>
        <v>Changed</v>
      </c>
      <c r="G648" t="str">
        <f t="shared" si="32"/>
        <v>-</v>
      </c>
    </row>
    <row r="649" spans="1:7" x14ac:dyDescent="0.25">
      <c r="A649" s="2" t="s">
        <v>1</v>
      </c>
      <c r="B649" s="9" t="s">
        <v>686</v>
      </c>
      <c r="C649" t="s">
        <v>1686</v>
      </c>
      <c r="D649" s="5" t="s">
        <v>2686</v>
      </c>
      <c r="E649" t="str">
        <f t="shared" si="30"/>
        <v>UPDATE [MAP].[T_TRANS_VENDOR] SET NEW_VENDOR_ID = 'V0662' WHERE LEGACY_VENDOR_ID = 'PENNONEC' AND DATA_FOLDER_ID = 'sampl'</v>
      </c>
      <c r="F649" t="str">
        <f t="shared" si="31"/>
        <v>Changed</v>
      </c>
      <c r="G649" t="str">
        <f t="shared" si="32"/>
        <v>-</v>
      </c>
    </row>
    <row r="650" spans="1:7" x14ac:dyDescent="0.25">
      <c r="A650" s="2" t="s">
        <v>1</v>
      </c>
      <c r="B650" s="9" t="s">
        <v>687</v>
      </c>
      <c r="C650" t="s">
        <v>1687</v>
      </c>
      <c r="D650" s="5" t="s">
        <v>2687</v>
      </c>
      <c r="E650" t="str">
        <f t="shared" si="30"/>
        <v>UPDATE [MAP].[T_TRANS_VENDOR] SET NEW_VENDOR_ID = 'V0663' WHERE LEGACY_VENDOR_ID = 'PENNONI' AND DATA_FOLDER_ID = 'sampl'</v>
      </c>
      <c r="F650" t="str">
        <f t="shared" si="31"/>
        <v>Changed</v>
      </c>
      <c r="G650" t="str">
        <f t="shared" si="32"/>
        <v>-</v>
      </c>
    </row>
    <row r="651" spans="1:7" x14ac:dyDescent="0.25">
      <c r="A651" s="2" t="s">
        <v>1</v>
      </c>
      <c r="B651" s="9" t="s">
        <v>688</v>
      </c>
      <c r="C651" t="s">
        <v>1688</v>
      </c>
      <c r="D651" s="5" t="s">
        <v>2688</v>
      </c>
      <c r="E651" t="str">
        <f t="shared" si="30"/>
        <v>UPDATE [MAP].[T_TRANS_VENDOR] SET NEW_VENDOR_ID = 'V0664' WHERE LEGACY_VENDOR_ID = 'PENNPAPE' AND DATA_FOLDER_ID = 'sampl'</v>
      </c>
      <c r="F651" t="str">
        <f t="shared" si="31"/>
        <v>Changed</v>
      </c>
      <c r="G651" t="str">
        <f t="shared" si="32"/>
        <v>-</v>
      </c>
    </row>
    <row r="652" spans="1:7" x14ac:dyDescent="0.25">
      <c r="A652" s="2" t="s">
        <v>1</v>
      </c>
      <c r="B652" s="9" t="s">
        <v>689</v>
      </c>
      <c r="C652" t="s">
        <v>1689</v>
      </c>
      <c r="D652" s="5" t="s">
        <v>2689</v>
      </c>
      <c r="E652" t="str">
        <f t="shared" si="30"/>
        <v>UPDATE [MAP].[T_TRANS_VENDOR] SET NEW_VENDOR_ID = 'V0665' WHERE LEGACY_VENDOR_ID = 'PENNREFR' AND DATA_FOLDER_ID = 'sampl'</v>
      </c>
      <c r="F652" t="str">
        <f t="shared" si="31"/>
        <v>Changed</v>
      </c>
      <c r="G652" t="str">
        <f t="shared" si="32"/>
        <v>-</v>
      </c>
    </row>
    <row r="653" spans="1:7" x14ac:dyDescent="0.25">
      <c r="A653" s="2" t="s">
        <v>1</v>
      </c>
      <c r="B653" s="9" t="s">
        <v>690</v>
      </c>
      <c r="C653" t="s">
        <v>1690</v>
      </c>
      <c r="D653" s="5" t="s">
        <v>2690</v>
      </c>
      <c r="E653" t="str">
        <f t="shared" si="30"/>
        <v>UPDATE [MAP].[T_TRANS_VENDOR] SET NEW_VENDOR_ID = 'V0666' WHERE LEGACY_VENDOR_ID = 'PENNSTEE' AND DATA_FOLDER_ID = 'sampl'</v>
      </c>
      <c r="F653" t="str">
        <f t="shared" si="31"/>
        <v>Changed</v>
      </c>
      <c r="G653" t="str">
        <f t="shared" si="32"/>
        <v>-</v>
      </c>
    </row>
    <row r="654" spans="1:7" x14ac:dyDescent="0.25">
      <c r="A654" s="2" t="s">
        <v>1</v>
      </c>
      <c r="B654" s="9" t="s">
        <v>691</v>
      </c>
      <c r="C654" t="s">
        <v>1691</v>
      </c>
      <c r="D654" s="5" t="s">
        <v>2691</v>
      </c>
      <c r="E654" t="str">
        <f t="shared" si="30"/>
        <v>UPDATE [MAP].[T_TRANS_VENDOR] SET NEW_VENDOR_ID = 'V0667' WHERE LEGACY_VENDOR_ID = 'PENNSYSU' AND DATA_FOLDER_ID = 'sampl'</v>
      </c>
      <c r="F654" t="str">
        <f t="shared" si="31"/>
        <v>Changed</v>
      </c>
      <c r="G654" t="str">
        <f t="shared" si="32"/>
        <v>-</v>
      </c>
    </row>
    <row r="655" spans="1:7" x14ac:dyDescent="0.25">
      <c r="A655" s="2" t="s">
        <v>1</v>
      </c>
      <c r="B655" s="9" t="s">
        <v>692</v>
      </c>
      <c r="C655" t="s">
        <v>1692</v>
      </c>
      <c r="D655" s="5" t="s">
        <v>2692</v>
      </c>
      <c r="E655" t="str">
        <f t="shared" ref="E655:E718" si="33">"UPDATE "&amp;$E$3&amp;" SET NEW_VENDOR_ID = '"&amp;D655&amp;"' WHERE LEGACY_VENDOR_ID = '"&amp;B655&amp;"' AND DATA_FOLDER_ID = '"&amp;$A655&amp;"'"</f>
        <v>UPDATE [MAP].[T_TRANS_VENDOR] SET NEW_VENDOR_ID = 'V0668' WHERE LEGACY_VENDOR_ID = 'PENNTECT' AND DATA_FOLDER_ID = 'sampl'</v>
      </c>
      <c r="F655" t="str">
        <f t="shared" ref="F655:F718" si="34">IF(B655&lt;&gt;D655,"Changed","-")</f>
        <v>Changed</v>
      </c>
      <c r="G655" t="str">
        <f t="shared" ref="G655:G718" si="35">IF(B655="","Hide","-")</f>
        <v>-</v>
      </c>
    </row>
    <row r="656" spans="1:7" x14ac:dyDescent="0.25">
      <c r="A656" s="2" t="s">
        <v>1</v>
      </c>
      <c r="B656" s="9" t="s">
        <v>693</v>
      </c>
      <c r="C656" t="s">
        <v>1693</v>
      </c>
      <c r="D656" s="5" t="s">
        <v>2693</v>
      </c>
      <c r="E656" t="str">
        <f t="shared" si="33"/>
        <v>UPDATE [MAP].[T_TRANS_VENDOR] SET NEW_VENDOR_ID = 'V0669' WHERE LEGACY_VENDOR_ID = 'PEOPLESM' AND DATA_FOLDER_ID = 'sampl'</v>
      </c>
      <c r="F656" t="str">
        <f t="shared" si="34"/>
        <v>Changed</v>
      </c>
      <c r="G656" t="str">
        <f t="shared" si="35"/>
        <v>-</v>
      </c>
    </row>
    <row r="657" spans="1:7" x14ac:dyDescent="0.25">
      <c r="A657" s="2" t="s">
        <v>1</v>
      </c>
      <c r="B657" s="9" t="s">
        <v>694</v>
      </c>
      <c r="C657" t="s">
        <v>1694</v>
      </c>
      <c r="D657" s="5" t="s">
        <v>2694</v>
      </c>
      <c r="E657" t="str">
        <f t="shared" si="33"/>
        <v>UPDATE [MAP].[T_TRANS_VENDOR] SET NEW_VENDOR_ID = 'V0670' WHERE LEGACY_VENDOR_ID = 'PERIFORM' AND DATA_FOLDER_ID = 'sampl'</v>
      </c>
      <c r="F657" t="str">
        <f t="shared" si="34"/>
        <v>Changed</v>
      </c>
      <c r="G657" t="str">
        <f t="shared" si="35"/>
        <v>-</v>
      </c>
    </row>
    <row r="658" spans="1:7" x14ac:dyDescent="0.25">
      <c r="A658" s="2" t="s">
        <v>1</v>
      </c>
      <c r="B658" s="9" t="s">
        <v>695</v>
      </c>
      <c r="C658" t="s">
        <v>1695</v>
      </c>
      <c r="D658" s="5" t="s">
        <v>2695</v>
      </c>
      <c r="E658" t="str">
        <f t="shared" si="33"/>
        <v>UPDATE [MAP].[T_TRANS_VENDOR] SET NEW_VENDOR_ID = 'V0671' WHERE LEGACY_VENDOR_ID = 'PERLEYHA' AND DATA_FOLDER_ID = 'sampl'</v>
      </c>
      <c r="F658" t="str">
        <f t="shared" si="34"/>
        <v>Changed</v>
      </c>
      <c r="G658" t="str">
        <f t="shared" si="35"/>
        <v>-</v>
      </c>
    </row>
    <row r="659" spans="1:7" x14ac:dyDescent="0.25">
      <c r="A659" s="2" t="s">
        <v>1</v>
      </c>
      <c r="B659" s="9" t="s">
        <v>696</v>
      </c>
      <c r="C659" t="s">
        <v>1696</v>
      </c>
      <c r="D659" s="5" t="s">
        <v>2696</v>
      </c>
      <c r="E659" t="str">
        <f t="shared" si="33"/>
        <v>UPDATE [MAP].[T_TRANS_VENDOR] SET NEW_VENDOR_ID = 'V0672' WHERE LEGACY_VENDOR_ID = 'PETESGARA' AND DATA_FOLDER_ID = 'sampl'</v>
      </c>
      <c r="F659" t="str">
        <f t="shared" si="34"/>
        <v>Changed</v>
      </c>
      <c r="G659" t="str">
        <f t="shared" si="35"/>
        <v>-</v>
      </c>
    </row>
    <row r="660" spans="1:7" x14ac:dyDescent="0.25">
      <c r="A660" s="2" t="s">
        <v>1</v>
      </c>
      <c r="B660" s="9" t="s">
        <v>697</v>
      </c>
      <c r="C660" t="s">
        <v>1697</v>
      </c>
      <c r="D660" s="5" t="s">
        <v>2697</v>
      </c>
      <c r="E660" t="str">
        <f t="shared" si="33"/>
        <v>UPDATE [MAP].[T_TRANS_VENDOR] SET NEW_VENDOR_ID = 'V0673' WHERE LEGACY_VENDOR_ID = 'PETTIPES' AND DATA_FOLDER_ID = 'sampl'</v>
      </c>
      <c r="F660" t="str">
        <f t="shared" si="34"/>
        <v>Changed</v>
      </c>
      <c r="G660" t="str">
        <f t="shared" si="35"/>
        <v>-</v>
      </c>
    </row>
    <row r="661" spans="1:7" x14ac:dyDescent="0.25">
      <c r="A661" s="2" t="s">
        <v>1</v>
      </c>
      <c r="B661" s="9" t="s">
        <v>698</v>
      </c>
      <c r="C661" t="s">
        <v>1698</v>
      </c>
      <c r="D661" s="5" t="s">
        <v>2698</v>
      </c>
      <c r="E661" t="str">
        <f t="shared" si="33"/>
        <v>UPDATE [MAP].[T_TRANS_VENDOR] SET NEW_VENDOR_ID = 'V0674' WHERE LEGACY_VENDOR_ID = 'PG000000' AND DATA_FOLDER_ID = 'sampl'</v>
      </c>
      <c r="F661" t="str">
        <f t="shared" si="34"/>
        <v>Changed</v>
      </c>
      <c r="G661" t="str">
        <f t="shared" si="35"/>
        <v>-</v>
      </c>
    </row>
    <row r="662" spans="1:7" x14ac:dyDescent="0.25">
      <c r="A662" s="2" t="s">
        <v>1</v>
      </c>
      <c r="B662" s="9" t="s">
        <v>699</v>
      </c>
      <c r="C662" t="s">
        <v>1699</v>
      </c>
      <c r="D662" s="5" t="s">
        <v>2699</v>
      </c>
      <c r="E662" t="str">
        <f t="shared" si="33"/>
        <v>UPDATE [MAP].[T_TRANS_VENDOR] SET NEW_VENDOR_ID = 'V0675' WHERE LEGACY_VENDOR_ID = 'PGAL0000' AND DATA_FOLDER_ID = 'sampl'</v>
      </c>
      <c r="F662" t="str">
        <f t="shared" si="34"/>
        <v>Changed</v>
      </c>
      <c r="G662" t="str">
        <f t="shared" si="35"/>
        <v>-</v>
      </c>
    </row>
    <row r="663" spans="1:7" x14ac:dyDescent="0.25">
      <c r="A663" s="2" t="s">
        <v>1</v>
      </c>
      <c r="B663" s="9" t="s">
        <v>700</v>
      </c>
      <c r="C663" t="s">
        <v>1700</v>
      </c>
      <c r="D663" s="5" t="s">
        <v>2700</v>
      </c>
      <c r="E663" t="str">
        <f t="shared" si="33"/>
        <v>UPDATE [MAP].[T_TRANS_VENDOR] SET NEW_VENDOR_ID = 'V0676' WHERE LEGACY_VENDOR_ID = 'PHILADELPH' AND DATA_FOLDER_ID = 'sampl'</v>
      </c>
      <c r="F663" t="str">
        <f t="shared" si="34"/>
        <v>Changed</v>
      </c>
      <c r="G663" t="str">
        <f t="shared" si="35"/>
        <v>-</v>
      </c>
    </row>
    <row r="664" spans="1:7" x14ac:dyDescent="0.25">
      <c r="A664" s="2" t="s">
        <v>1</v>
      </c>
      <c r="B664" s="9" t="s">
        <v>701</v>
      </c>
      <c r="C664" t="s">
        <v>1701</v>
      </c>
      <c r="D664" s="5" t="s">
        <v>2701</v>
      </c>
      <c r="E664" t="str">
        <f t="shared" si="33"/>
        <v>UPDATE [MAP].[T_TRANS_VENDOR] SET NEW_VENDOR_ID = 'V0677' WHERE LEGACY_VENDOR_ID = 'PHILLYWD' AND DATA_FOLDER_ID = 'sampl'</v>
      </c>
      <c r="F664" t="str">
        <f t="shared" si="34"/>
        <v>Changed</v>
      </c>
      <c r="G664" t="str">
        <f t="shared" si="35"/>
        <v>-</v>
      </c>
    </row>
    <row r="665" spans="1:7" x14ac:dyDescent="0.25">
      <c r="A665" s="2" t="s">
        <v>1</v>
      </c>
      <c r="B665" s="9" t="s">
        <v>702</v>
      </c>
      <c r="C665" t="s">
        <v>1702</v>
      </c>
      <c r="D665" s="5" t="s">
        <v>2702</v>
      </c>
      <c r="E665" t="str">
        <f t="shared" si="33"/>
        <v>UPDATE [MAP].[T_TRANS_VENDOR] SET NEW_VENDOR_ID = 'V0678' WHERE LEGACY_VENDOR_ID = 'PIEROSCO' AND DATA_FOLDER_ID = 'sampl'</v>
      </c>
      <c r="F665" t="str">
        <f t="shared" si="34"/>
        <v>Changed</v>
      </c>
      <c r="G665" t="str">
        <f t="shared" si="35"/>
        <v>-</v>
      </c>
    </row>
    <row r="666" spans="1:7" x14ac:dyDescent="0.25">
      <c r="A666" s="2" t="s">
        <v>1</v>
      </c>
      <c r="B666" s="9" t="s">
        <v>703</v>
      </c>
      <c r="C666" t="s">
        <v>1703</v>
      </c>
      <c r="D666" s="5" t="s">
        <v>2703</v>
      </c>
      <c r="E666" t="str">
        <f t="shared" si="33"/>
        <v>UPDATE [MAP].[T_TRANS_VENDOR] SET NEW_VENDOR_ID = 'V0679' WHERE LEGACY_VENDOR_ID = 'PIERSON' AND DATA_FOLDER_ID = 'sampl'</v>
      </c>
      <c r="F666" t="str">
        <f t="shared" si="34"/>
        <v>Changed</v>
      </c>
      <c r="G666" t="str">
        <f t="shared" si="35"/>
        <v>-</v>
      </c>
    </row>
    <row r="667" spans="1:7" x14ac:dyDescent="0.25">
      <c r="A667" s="2" t="s">
        <v>1</v>
      </c>
      <c r="B667" s="9" t="s">
        <v>704</v>
      </c>
      <c r="C667" t="s">
        <v>1704</v>
      </c>
      <c r="D667" s="5" t="s">
        <v>2704</v>
      </c>
      <c r="E667" t="str">
        <f t="shared" si="33"/>
        <v>UPDATE [MAP].[T_TRANS_VENDOR] SET NEW_VENDOR_ID = 'V0680' WHERE LEGACY_VENDOR_ID = 'PINEKNOL' AND DATA_FOLDER_ID = 'sampl'</v>
      </c>
      <c r="F667" t="str">
        <f t="shared" si="34"/>
        <v>Changed</v>
      </c>
      <c r="G667" t="str">
        <f t="shared" si="35"/>
        <v>-</v>
      </c>
    </row>
    <row r="668" spans="1:7" x14ac:dyDescent="0.25">
      <c r="A668" s="2" t="s">
        <v>1</v>
      </c>
      <c r="B668" s="9" t="s">
        <v>705</v>
      </c>
      <c r="C668" t="s">
        <v>1705</v>
      </c>
      <c r="D668" s="5" t="s">
        <v>2705</v>
      </c>
      <c r="E668" t="str">
        <f t="shared" si="33"/>
        <v>UPDATE [MAP].[T_TRANS_VENDOR] SET NEW_VENDOR_ID = 'V0681' WHERE LEGACY_VENDOR_ID = 'PINNROOF' AND DATA_FOLDER_ID = 'sampl'</v>
      </c>
      <c r="F668" t="str">
        <f t="shared" si="34"/>
        <v>Changed</v>
      </c>
      <c r="G668" t="str">
        <f t="shared" si="35"/>
        <v>-</v>
      </c>
    </row>
    <row r="669" spans="1:7" x14ac:dyDescent="0.25">
      <c r="A669" s="2" t="s">
        <v>1</v>
      </c>
      <c r="B669" s="9" t="s">
        <v>706</v>
      </c>
      <c r="C669" t="s">
        <v>1706</v>
      </c>
      <c r="D669" s="5" t="s">
        <v>2706</v>
      </c>
      <c r="E669" t="str">
        <f t="shared" si="33"/>
        <v>UPDATE [MAP].[T_TRANS_VENDOR] SET NEW_VENDOR_ID = 'V0682' WHERE LEGACY_VENDOR_ID = 'PLACESTR' AND DATA_FOLDER_ID = 'sampl'</v>
      </c>
      <c r="F669" t="str">
        <f t="shared" si="34"/>
        <v>Changed</v>
      </c>
      <c r="G669" t="str">
        <f t="shared" si="35"/>
        <v>-</v>
      </c>
    </row>
    <row r="670" spans="1:7" x14ac:dyDescent="0.25">
      <c r="A670" s="2" t="s">
        <v>1</v>
      </c>
      <c r="B670" s="9" t="s">
        <v>707</v>
      </c>
      <c r="C670" t="s">
        <v>1707</v>
      </c>
      <c r="D670" s="5" t="s">
        <v>2707</v>
      </c>
      <c r="E670" t="str">
        <f t="shared" si="33"/>
        <v>UPDATE [MAP].[T_TRANS_VENDOR] SET NEW_VENDOR_ID = 'V0683' WHERE LEGACY_VENDOR_ID = 'PLTCLEAN' AND DATA_FOLDER_ID = 'sampl'</v>
      </c>
      <c r="F670" t="str">
        <f t="shared" si="34"/>
        <v>Changed</v>
      </c>
      <c r="G670" t="str">
        <f t="shared" si="35"/>
        <v>-</v>
      </c>
    </row>
    <row r="671" spans="1:7" x14ac:dyDescent="0.25">
      <c r="A671" s="2" t="s">
        <v>1</v>
      </c>
      <c r="B671" s="9" t="s">
        <v>708</v>
      </c>
      <c r="C671" t="s">
        <v>1708</v>
      </c>
      <c r="D671" s="5" t="s">
        <v>2708</v>
      </c>
      <c r="E671" t="str">
        <f t="shared" si="33"/>
        <v>UPDATE [MAP].[T_TRANS_VENDOR] SET NEW_VENDOR_ID = 'V0684' WHERE LEGACY_VENDOR_ID = 'PLYMOUTH' AND DATA_FOLDER_ID = 'sampl'</v>
      </c>
      <c r="F671" t="str">
        <f t="shared" si="34"/>
        <v>Changed</v>
      </c>
      <c r="G671" t="str">
        <f t="shared" si="35"/>
        <v>-</v>
      </c>
    </row>
    <row r="672" spans="1:7" x14ac:dyDescent="0.25">
      <c r="A672" s="2" t="s">
        <v>1</v>
      </c>
      <c r="B672" s="9" t="s">
        <v>709</v>
      </c>
      <c r="C672" t="s">
        <v>1709</v>
      </c>
      <c r="D672" s="5" t="s">
        <v>2709</v>
      </c>
      <c r="E672" t="str">
        <f t="shared" si="33"/>
        <v>UPDATE [MAP].[T_TRANS_VENDOR] SET NEW_VENDOR_ID = 'V0685' WHERE LEGACY_VENDOR_ID = 'PNCEQUIP' AND DATA_FOLDER_ID = 'sampl'</v>
      </c>
      <c r="F672" t="str">
        <f t="shared" si="34"/>
        <v>Changed</v>
      </c>
      <c r="G672" t="str">
        <f t="shared" si="35"/>
        <v>-</v>
      </c>
    </row>
    <row r="673" spans="1:7" x14ac:dyDescent="0.25">
      <c r="A673" s="2" t="s">
        <v>1</v>
      </c>
      <c r="B673" s="9" t="s">
        <v>710</v>
      </c>
      <c r="C673" t="s">
        <v>1710</v>
      </c>
      <c r="D673" s="5" t="s">
        <v>2710</v>
      </c>
      <c r="E673" t="str">
        <f t="shared" si="33"/>
        <v>UPDATE [MAP].[T_TRANS_VENDOR] SET NEW_VENDOR_ID = 'V0686' WHERE LEGACY_VENDOR_ID = 'PNCINSTI' AND DATA_FOLDER_ID = 'sampl'</v>
      </c>
      <c r="F673" t="str">
        <f t="shared" si="34"/>
        <v>Changed</v>
      </c>
      <c r="G673" t="str">
        <f t="shared" si="35"/>
        <v>-</v>
      </c>
    </row>
    <row r="674" spans="1:7" x14ac:dyDescent="0.25">
      <c r="A674" s="2" t="s">
        <v>1</v>
      </c>
      <c r="B674" s="9" t="s">
        <v>711</v>
      </c>
      <c r="C674" t="s">
        <v>1711</v>
      </c>
      <c r="D674" s="5" t="s">
        <v>2711</v>
      </c>
      <c r="E674" t="str">
        <f t="shared" si="33"/>
        <v>UPDATE [MAP].[T_TRANS_VENDOR] SET NEW_VENDOR_ID = 'V0687' WHERE LEGACY_VENDOR_ID = 'POCCLEAN' AND DATA_FOLDER_ID = 'sampl'</v>
      </c>
      <c r="F674" t="str">
        <f t="shared" si="34"/>
        <v>Changed</v>
      </c>
      <c r="G674" t="str">
        <f t="shared" si="35"/>
        <v>-</v>
      </c>
    </row>
    <row r="675" spans="1:7" x14ac:dyDescent="0.25">
      <c r="A675" s="2" t="s">
        <v>1</v>
      </c>
      <c r="B675" s="9" t="s">
        <v>712</v>
      </c>
      <c r="C675" t="s">
        <v>1712</v>
      </c>
      <c r="D675" s="5" t="s">
        <v>2712</v>
      </c>
      <c r="E675" t="str">
        <f t="shared" si="33"/>
        <v>UPDATE [MAP].[T_TRANS_VENDOR] SET NEW_VENDOR_ID = 'V0688' WHERE LEGACY_VENDOR_ID = 'POCTRANS' AND DATA_FOLDER_ID = 'sampl'</v>
      </c>
      <c r="F675" t="str">
        <f t="shared" si="34"/>
        <v>Changed</v>
      </c>
      <c r="G675" t="str">
        <f t="shared" si="35"/>
        <v>-</v>
      </c>
    </row>
    <row r="676" spans="1:7" x14ac:dyDescent="0.25">
      <c r="A676" s="2" t="s">
        <v>1</v>
      </c>
      <c r="B676" s="9" t="s">
        <v>713</v>
      </c>
      <c r="C676" t="s">
        <v>1713</v>
      </c>
      <c r="D676" s="5" t="s">
        <v>2713</v>
      </c>
      <c r="E676" t="str">
        <f t="shared" si="33"/>
        <v>UPDATE [MAP].[T_TRANS_VENDOR] SET NEW_VENDOR_ID = 'V0689' WHERE LEGACY_VENDOR_ID = 'POLYMER' AND DATA_FOLDER_ID = 'sampl'</v>
      </c>
      <c r="F676" t="str">
        <f t="shared" si="34"/>
        <v>Changed</v>
      </c>
      <c r="G676" t="str">
        <f t="shared" si="35"/>
        <v>-</v>
      </c>
    </row>
    <row r="677" spans="1:7" x14ac:dyDescent="0.25">
      <c r="A677" s="2" t="s">
        <v>1</v>
      </c>
      <c r="B677" s="9" t="s">
        <v>714</v>
      </c>
      <c r="C677" t="s">
        <v>1714</v>
      </c>
      <c r="D677" s="5" t="s">
        <v>2714</v>
      </c>
      <c r="E677" t="str">
        <f t="shared" si="33"/>
        <v>UPDATE [MAP].[T_TRANS_VENDOR] SET NEW_VENDOR_ID = 'V0690' WHERE LEGACY_VENDOR_ID = 'PONS&amp;ASS' AND DATA_FOLDER_ID = 'sampl'</v>
      </c>
      <c r="F677" t="str">
        <f t="shared" si="34"/>
        <v>Changed</v>
      </c>
      <c r="G677" t="str">
        <f t="shared" si="35"/>
        <v>-</v>
      </c>
    </row>
    <row r="678" spans="1:7" x14ac:dyDescent="0.25">
      <c r="A678" s="2" t="s">
        <v>1</v>
      </c>
      <c r="B678" s="9" t="s">
        <v>715</v>
      </c>
      <c r="C678" t="s">
        <v>1715</v>
      </c>
      <c r="D678" s="5" t="s">
        <v>2715</v>
      </c>
      <c r="E678" t="str">
        <f t="shared" si="33"/>
        <v>UPDATE [MAP].[T_TRANS_VENDOR] SET NEW_VENDOR_ID = 'V0691' WHERE LEGACY_VENDOR_ID = 'PORTANOV' AND DATA_FOLDER_ID = 'sampl'</v>
      </c>
      <c r="F678" t="str">
        <f t="shared" si="34"/>
        <v>Changed</v>
      </c>
      <c r="G678" t="str">
        <f t="shared" si="35"/>
        <v>-</v>
      </c>
    </row>
    <row r="679" spans="1:7" x14ac:dyDescent="0.25">
      <c r="A679" s="2" t="s">
        <v>1</v>
      </c>
      <c r="B679" s="9" t="s">
        <v>716</v>
      </c>
      <c r="C679" t="s">
        <v>1716</v>
      </c>
      <c r="D679" s="5" t="s">
        <v>2716</v>
      </c>
      <c r="E679" t="str">
        <f t="shared" si="33"/>
        <v>UPDATE [MAP].[T_TRANS_VENDOR] SET NEW_VENDOR_ID = 'V0692' WHERE LEGACY_VENDOR_ID = 'POSTLERJ' AND DATA_FOLDER_ID = 'sampl'</v>
      </c>
      <c r="F679" t="str">
        <f t="shared" si="34"/>
        <v>Changed</v>
      </c>
      <c r="G679" t="str">
        <f t="shared" si="35"/>
        <v>-</v>
      </c>
    </row>
    <row r="680" spans="1:7" x14ac:dyDescent="0.25">
      <c r="A680" s="2" t="s">
        <v>1</v>
      </c>
      <c r="B680" s="9" t="s">
        <v>717</v>
      </c>
      <c r="C680" t="s">
        <v>1717</v>
      </c>
      <c r="D680" s="5" t="s">
        <v>2717</v>
      </c>
      <c r="E680" t="str">
        <f t="shared" si="33"/>
        <v>UPDATE [MAP].[T_TRANS_VENDOR] SET NEW_VENDOR_ID = 'V0693' WHERE LEGACY_VENDOR_ID = 'POSTUPAK' AND DATA_FOLDER_ID = 'sampl'</v>
      </c>
      <c r="F680" t="str">
        <f t="shared" si="34"/>
        <v>Changed</v>
      </c>
      <c r="G680" t="str">
        <f t="shared" si="35"/>
        <v>-</v>
      </c>
    </row>
    <row r="681" spans="1:7" x14ac:dyDescent="0.25">
      <c r="A681" s="2" t="s">
        <v>1</v>
      </c>
      <c r="B681" s="9" t="s">
        <v>718</v>
      </c>
      <c r="C681" t="s">
        <v>1718</v>
      </c>
      <c r="D681" s="5" t="s">
        <v>2718</v>
      </c>
      <c r="E681" t="str">
        <f t="shared" si="33"/>
        <v>UPDATE [MAP].[T_TRANS_VENDOR] SET NEW_VENDOR_ID = 'V0694' WHERE LEGACY_VENDOR_ID = 'POTOMACA' AND DATA_FOLDER_ID = 'sampl'</v>
      </c>
      <c r="F681" t="str">
        <f t="shared" si="34"/>
        <v>Changed</v>
      </c>
      <c r="G681" t="str">
        <f t="shared" si="35"/>
        <v>-</v>
      </c>
    </row>
    <row r="682" spans="1:7" x14ac:dyDescent="0.25">
      <c r="A682" s="2" t="s">
        <v>1</v>
      </c>
      <c r="B682" s="9" t="s">
        <v>719</v>
      </c>
      <c r="C682" t="s">
        <v>1719</v>
      </c>
      <c r="D682" s="5" t="s">
        <v>2719</v>
      </c>
      <c r="E682" t="str">
        <f t="shared" si="33"/>
        <v>UPDATE [MAP].[T_TRANS_VENDOR] SET NEW_VENDOR_ID = 'V0695' WHERE LEGACY_VENDOR_ID = 'POWERENG' AND DATA_FOLDER_ID = 'sampl'</v>
      </c>
      <c r="F682" t="str">
        <f t="shared" si="34"/>
        <v>Changed</v>
      </c>
      <c r="G682" t="str">
        <f t="shared" si="35"/>
        <v>-</v>
      </c>
    </row>
    <row r="683" spans="1:7" x14ac:dyDescent="0.25">
      <c r="A683" s="2" t="s">
        <v>1</v>
      </c>
      <c r="B683" s="9" t="s">
        <v>720</v>
      </c>
      <c r="C683" t="s">
        <v>1720</v>
      </c>
      <c r="D683" s="5" t="s">
        <v>2720</v>
      </c>
      <c r="E683" t="str">
        <f t="shared" si="33"/>
        <v>UPDATE [MAP].[T_TRANS_VENDOR] SET NEW_VENDOR_ID = 'V0696' WHERE LEGACY_VENDOR_ID = 'POWERMEC' AND DATA_FOLDER_ID = 'sampl'</v>
      </c>
      <c r="F683" t="str">
        <f t="shared" si="34"/>
        <v>Changed</v>
      </c>
      <c r="G683" t="str">
        <f t="shared" si="35"/>
        <v>-</v>
      </c>
    </row>
    <row r="684" spans="1:7" x14ac:dyDescent="0.25">
      <c r="A684" s="2" t="s">
        <v>1</v>
      </c>
      <c r="B684" s="9" t="s">
        <v>721</v>
      </c>
      <c r="C684" t="s">
        <v>1721</v>
      </c>
      <c r="D684" s="5" t="s">
        <v>2721</v>
      </c>
      <c r="E684" t="str">
        <f t="shared" si="33"/>
        <v>UPDATE [MAP].[T_TRANS_VENDOR] SET NEW_VENDOR_ID = 'V0697' WHERE LEGACY_VENDOR_ID = 'POWERSCO' AND DATA_FOLDER_ID = 'sampl'</v>
      </c>
      <c r="F684" t="str">
        <f t="shared" si="34"/>
        <v>Changed</v>
      </c>
      <c r="G684" t="str">
        <f t="shared" si="35"/>
        <v>-</v>
      </c>
    </row>
    <row r="685" spans="1:7" x14ac:dyDescent="0.25">
      <c r="A685" s="2" t="s">
        <v>1</v>
      </c>
      <c r="B685" s="9" t="s">
        <v>722</v>
      </c>
      <c r="C685" t="s">
        <v>1722</v>
      </c>
      <c r="D685" s="5" t="s">
        <v>2722</v>
      </c>
      <c r="E685" t="str">
        <f t="shared" si="33"/>
        <v>UPDATE [MAP].[T_TRANS_VENDOR] SET NEW_VENDOR_ID = 'V0698' WHERE LEGACY_VENDOR_ID = 'POWEXCAV' AND DATA_FOLDER_ID = 'sampl'</v>
      </c>
      <c r="F685" t="str">
        <f t="shared" si="34"/>
        <v>Changed</v>
      </c>
      <c r="G685" t="str">
        <f t="shared" si="35"/>
        <v>-</v>
      </c>
    </row>
    <row r="686" spans="1:7" x14ac:dyDescent="0.25">
      <c r="A686" s="2" t="s">
        <v>1</v>
      </c>
      <c r="B686" s="9" t="s">
        <v>723</v>
      </c>
      <c r="C686" t="s">
        <v>1723</v>
      </c>
      <c r="D686" s="5" t="s">
        <v>2723</v>
      </c>
      <c r="E686" t="str">
        <f t="shared" si="33"/>
        <v>UPDATE [MAP].[T_TRANS_VENDOR] SET NEW_VENDOR_ID = 'V0699' WHERE LEGACY_VENDOR_ID = 'POWRENTA' AND DATA_FOLDER_ID = 'sampl'</v>
      </c>
      <c r="F686" t="str">
        <f t="shared" si="34"/>
        <v>Changed</v>
      </c>
      <c r="G686" t="str">
        <f t="shared" si="35"/>
        <v>-</v>
      </c>
    </row>
    <row r="687" spans="1:7" x14ac:dyDescent="0.25">
      <c r="A687" s="2" t="s">
        <v>1</v>
      </c>
      <c r="B687" s="9" t="s">
        <v>724</v>
      </c>
      <c r="C687" t="s">
        <v>1724</v>
      </c>
      <c r="D687" s="5" t="s">
        <v>2724</v>
      </c>
      <c r="E687" t="str">
        <f t="shared" si="33"/>
        <v>UPDATE [MAP].[T_TRANS_VENDOR] SET NEW_VENDOR_ID = 'V0700' WHERE LEGACY_VENDOR_ID = 'POWSALES' AND DATA_FOLDER_ID = 'sampl'</v>
      </c>
      <c r="F687" t="str">
        <f t="shared" si="34"/>
        <v>Changed</v>
      </c>
      <c r="G687" t="str">
        <f t="shared" si="35"/>
        <v>-</v>
      </c>
    </row>
    <row r="688" spans="1:7" x14ac:dyDescent="0.25">
      <c r="A688" s="2" t="s">
        <v>1</v>
      </c>
      <c r="B688" s="9" t="s">
        <v>725</v>
      </c>
      <c r="C688" t="s">
        <v>1725</v>
      </c>
      <c r="D688" s="5" t="s">
        <v>2725</v>
      </c>
      <c r="E688" t="str">
        <f t="shared" si="33"/>
        <v>UPDATE [MAP].[T_TRANS_VENDOR] SET NEW_VENDOR_ID = 'V0701' WHERE LEGACY_VENDOR_ID = 'PPLUTILI' AND DATA_FOLDER_ID = 'sampl'</v>
      </c>
      <c r="F688" t="str">
        <f t="shared" si="34"/>
        <v>Changed</v>
      </c>
      <c r="G688" t="str">
        <f t="shared" si="35"/>
        <v>-</v>
      </c>
    </row>
    <row r="689" spans="1:7" x14ac:dyDescent="0.25">
      <c r="A689" s="2" t="s">
        <v>1</v>
      </c>
      <c r="B689" s="9" t="s">
        <v>726</v>
      </c>
      <c r="C689" t="s">
        <v>1726</v>
      </c>
      <c r="D689" s="5" t="s">
        <v>2726</v>
      </c>
      <c r="E689" t="str">
        <f t="shared" si="33"/>
        <v>UPDATE [MAP].[T_TRANS_VENDOR] SET NEW_VENDOR_ID = 'V0702' WHERE LEGACY_VENDOR_ID = 'PRECISION' AND DATA_FOLDER_ID = 'sampl'</v>
      </c>
      <c r="F689" t="str">
        <f t="shared" si="34"/>
        <v>Changed</v>
      </c>
      <c r="G689" t="str">
        <f t="shared" si="35"/>
        <v>-</v>
      </c>
    </row>
    <row r="690" spans="1:7" x14ac:dyDescent="0.25">
      <c r="A690" s="2" t="s">
        <v>1</v>
      </c>
      <c r="B690" s="9" t="s">
        <v>727</v>
      </c>
      <c r="C690" t="s">
        <v>1727</v>
      </c>
      <c r="D690" s="5" t="s">
        <v>2727</v>
      </c>
      <c r="E690" t="str">
        <f t="shared" si="33"/>
        <v>UPDATE [MAP].[T_TRANS_VENDOR] SET NEW_VENDOR_ID = 'V0703' WHERE LEGACY_VENDOR_ID = 'PRECPUMP' AND DATA_FOLDER_ID = 'sampl'</v>
      </c>
      <c r="F690" t="str">
        <f t="shared" si="34"/>
        <v>Changed</v>
      </c>
      <c r="G690" t="str">
        <f t="shared" si="35"/>
        <v>-</v>
      </c>
    </row>
    <row r="691" spans="1:7" x14ac:dyDescent="0.25">
      <c r="A691" s="2" t="s">
        <v>1</v>
      </c>
      <c r="B691" s="9" t="s">
        <v>728</v>
      </c>
      <c r="C691" t="s">
        <v>1728</v>
      </c>
      <c r="D691" s="5" t="s">
        <v>2728</v>
      </c>
      <c r="E691" t="str">
        <f t="shared" si="33"/>
        <v>UPDATE [MAP].[T_TRANS_VENDOR] SET NEW_VENDOR_ID = 'V0704' WHERE LEGACY_VENDOR_ID = 'PRESRAY' AND DATA_FOLDER_ID = 'sampl'</v>
      </c>
      <c r="F691" t="str">
        <f t="shared" si="34"/>
        <v>Changed</v>
      </c>
      <c r="G691" t="str">
        <f t="shared" si="35"/>
        <v>-</v>
      </c>
    </row>
    <row r="692" spans="1:7" x14ac:dyDescent="0.25">
      <c r="A692" s="2" t="s">
        <v>1</v>
      </c>
      <c r="B692" s="9" t="s">
        <v>729</v>
      </c>
      <c r="C692" t="s">
        <v>1729</v>
      </c>
      <c r="D692" s="5" t="s">
        <v>2729</v>
      </c>
      <c r="E692" t="str">
        <f t="shared" si="33"/>
        <v>UPDATE [MAP].[T_TRANS_VENDOR] SET NEW_VENDOR_ID = 'V0705' WHERE LEGACY_VENDOR_ID = 'PRINTOST' AND DATA_FOLDER_ID = 'sampl'</v>
      </c>
      <c r="F692" t="str">
        <f t="shared" si="34"/>
        <v>Changed</v>
      </c>
      <c r="G692" t="str">
        <f t="shared" si="35"/>
        <v>-</v>
      </c>
    </row>
    <row r="693" spans="1:7" x14ac:dyDescent="0.25">
      <c r="A693" s="2" t="s">
        <v>1</v>
      </c>
      <c r="B693" s="9" t="s">
        <v>730</v>
      </c>
      <c r="C693" t="s">
        <v>1730</v>
      </c>
      <c r="D693" s="5" t="s">
        <v>2730</v>
      </c>
      <c r="E693" t="str">
        <f t="shared" si="33"/>
        <v>UPDATE [MAP].[T_TRANS_VENDOR] SET NEW_VENDOR_ID = 'V0706' WHERE LEGACY_VENDOR_ID = 'PRISMRESPO' AND DATA_FOLDER_ID = 'sampl'</v>
      </c>
      <c r="F693" t="str">
        <f t="shared" si="34"/>
        <v>Changed</v>
      </c>
      <c r="G693" t="str">
        <f t="shared" si="35"/>
        <v>-</v>
      </c>
    </row>
    <row r="694" spans="1:7" x14ac:dyDescent="0.25">
      <c r="A694" s="2" t="s">
        <v>1</v>
      </c>
      <c r="B694" s="9" t="s">
        <v>731</v>
      </c>
      <c r="C694" t="s">
        <v>1731</v>
      </c>
      <c r="D694" s="5" t="s">
        <v>2731</v>
      </c>
      <c r="E694" t="str">
        <f t="shared" si="33"/>
        <v>UPDATE [MAP].[T_TRANS_VENDOR] SET NEW_VENDOR_ID = 'V0707' WHERE LEGACY_VENDOR_ID = 'PRO4MAXI' AND DATA_FOLDER_ID = 'sampl'</v>
      </c>
      <c r="F694" t="str">
        <f t="shared" si="34"/>
        <v>Changed</v>
      </c>
      <c r="G694" t="str">
        <f t="shared" si="35"/>
        <v>-</v>
      </c>
    </row>
    <row r="695" spans="1:7" x14ac:dyDescent="0.25">
      <c r="A695" s="2" t="s">
        <v>1</v>
      </c>
      <c r="B695" s="9" t="s">
        <v>732</v>
      </c>
      <c r="C695" t="s">
        <v>1732</v>
      </c>
      <c r="D695" s="5" t="s">
        <v>2732</v>
      </c>
      <c r="E695" t="str">
        <f t="shared" si="33"/>
        <v>UPDATE [MAP].[T_TRANS_VENDOR] SET NEW_VENDOR_ID = 'V0708' WHERE LEGACY_VENDOR_ID = 'PROCORE' AND DATA_FOLDER_ID = 'sampl'</v>
      </c>
      <c r="F695" t="str">
        <f t="shared" si="34"/>
        <v>Changed</v>
      </c>
      <c r="G695" t="str">
        <f t="shared" si="35"/>
        <v>-</v>
      </c>
    </row>
    <row r="696" spans="1:7" x14ac:dyDescent="0.25">
      <c r="A696" s="2" t="s">
        <v>1</v>
      </c>
      <c r="B696" s="9" t="s">
        <v>733</v>
      </c>
      <c r="C696" t="s">
        <v>1733</v>
      </c>
      <c r="D696" s="5" t="s">
        <v>2733</v>
      </c>
      <c r="E696" t="str">
        <f t="shared" si="33"/>
        <v>UPDATE [MAP].[T_TRANS_VENDOR] SET NEW_VENDOR_ID = 'V0709' WHERE LEGACY_VENDOR_ID = 'PROFESSI' AND DATA_FOLDER_ID = 'sampl'</v>
      </c>
      <c r="F696" t="str">
        <f t="shared" si="34"/>
        <v>Changed</v>
      </c>
      <c r="G696" t="str">
        <f t="shared" si="35"/>
        <v>-</v>
      </c>
    </row>
    <row r="697" spans="1:7" x14ac:dyDescent="0.25">
      <c r="A697" s="2" t="s">
        <v>1</v>
      </c>
      <c r="B697" s="9" t="s">
        <v>734</v>
      </c>
      <c r="C697" t="s">
        <v>1734</v>
      </c>
      <c r="D697" s="5" t="s">
        <v>2734</v>
      </c>
      <c r="E697" t="str">
        <f t="shared" si="33"/>
        <v>UPDATE [MAP].[T_TRANS_VENDOR] SET NEW_VENDOR_ID = 'V0710' WHERE LEGACY_VENDOR_ID = 'PROFPLUS' AND DATA_FOLDER_ID = 'sampl'</v>
      </c>
      <c r="F697" t="str">
        <f t="shared" si="34"/>
        <v>Changed</v>
      </c>
      <c r="G697" t="str">
        <f t="shared" si="35"/>
        <v>-</v>
      </c>
    </row>
    <row r="698" spans="1:7" x14ac:dyDescent="0.25">
      <c r="A698" s="2" t="s">
        <v>1</v>
      </c>
      <c r="B698" s="9" t="s">
        <v>735</v>
      </c>
      <c r="C698" t="s">
        <v>1735</v>
      </c>
      <c r="D698" s="5" t="s">
        <v>2735</v>
      </c>
      <c r="E698" t="str">
        <f t="shared" si="33"/>
        <v>UPDATE [MAP].[T_TRANS_VENDOR] SET NEW_VENDOR_ID = 'V0711' WHERE LEGACY_VENDOR_ID = 'PROGPRIN' AND DATA_FOLDER_ID = 'sampl'</v>
      </c>
      <c r="F698" t="str">
        <f t="shared" si="34"/>
        <v>Changed</v>
      </c>
      <c r="G698" t="str">
        <f t="shared" si="35"/>
        <v>-</v>
      </c>
    </row>
    <row r="699" spans="1:7" x14ac:dyDescent="0.25">
      <c r="A699" s="2" t="s">
        <v>1</v>
      </c>
      <c r="B699" s="9" t="s">
        <v>736</v>
      </c>
      <c r="C699" t="s">
        <v>1736</v>
      </c>
      <c r="D699" s="5" t="s">
        <v>2736</v>
      </c>
      <c r="E699" t="str">
        <f t="shared" si="33"/>
        <v>UPDATE [MAP].[T_TRANS_VENDOR] SET NEW_VENDOR_ID = 'V0712' WHERE LEGACY_VENDOR_ID = 'PROMAXFE' AND DATA_FOLDER_ID = 'sampl'</v>
      </c>
      <c r="F699" t="str">
        <f t="shared" si="34"/>
        <v>Changed</v>
      </c>
      <c r="G699" t="str">
        <f t="shared" si="35"/>
        <v>-</v>
      </c>
    </row>
    <row r="700" spans="1:7" x14ac:dyDescent="0.25">
      <c r="A700" s="2" t="s">
        <v>1</v>
      </c>
      <c r="B700" s="9" t="s">
        <v>737</v>
      </c>
      <c r="C700" t="s">
        <v>1737</v>
      </c>
      <c r="D700" s="5" t="s">
        <v>2737</v>
      </c>
      <c r="E700" t="str">
        <f t="shared" si="33"/>
        <v>UPDATE [MAP].[T_TRANS_VENDOR] SET NEW_VENDOR_ID = 'V0713' WHERE LEGACY_VENDOR_ID = 'PROREZLL' AND DATA_FOLDER_ID = 'sampl'</v>
      </c>
      <c r="F700" t="str">
        <f t="shared" si="34"/>
        <v>Changed</v>
      </c>
      <c r="G700" t="str">
        <f t="shared" si="35"/>
        <v>-</v>
      </c>
    </row>
    <row r="701" spans="1:7" x14ac:dyDescent="0.25">
      <c r="A701" s="2" t="s">
        <v>1</v>
      </c>
      <c r="B701" s="9" t="s">
        <v>738</v>
      </c>
      <c r="C701" t="s">
        <v>1738</v>
      </c>
      <c r="D701" s="5" t="s">
        <v>2738</v>
      </c>
      <c r="E701" t="str">
        <f t="shared" si="33"/>
        <v>UPDATE [MAP].[T_TRANS_VENDOR] SET NEW_VENDOR_ID = 'V0714' WHERE LEGACY_VENDOR_ID = 'PRUDENTI' AND DATA_FOLDER_ID = 'sampl'</v>
      </c>
      <c r="F701" t="str">
        <f t="shared" si="34"/>
        <v>Changed</v>
      </c>
      <c r="G701" t="str">
        <f t="shared" si="35"/>
        <v>-</v>
      </c>
    </row>
    <row r="702" spans="1:7" x14ac:dyDescent="0.25">
      <c r="A702" s="2" t="s">
        <v>1</v>
      </c>
      <c r="B702" s="9" t="s">
        <v>739</v>
      </c>
      <c r="C702" t="s">
        <v>1739</v>
      </c>
      <c r="D702" s="5" t="s">
        <v>2739</v>
      </c>
      <c r="E702" t="str">
        <f t="shared" si="33"/>
        <v>UPDATE [MAP].[T_TRANS_VENDOR] SET NEW_VENDOR_ID = 'V0715' WHERE LEGACY_VENDOR_ID = 'PSIENGIN' AND DATA_FOLDER_ID = 'sampl'</v>
      </c>
      <c r="F702" t="str">
        <f t="shared" si="34"/>
        <v>Changed</v>
      </c>
      <c r="G702" t="str">
        <f t="shared" si="35"/>
        <v>-</v>
      </c>
    </row>
    <row r="703" spans="1:7" x14ac:dyDescent="0.25">
      <c r="A703" s="2" t="s">
        <v>1</v>
      </c>
      <c r="B703" s="9" t="s">
        <v>740</v>
      </c>
      <c r="C703" t="s">
        <v>1740</v>
      </c>
      <c r="D703" s="5" t="s">
        <v>2740</v>
      </c>
      <c r="E703" t="str">
        <f t="shared" si="33"/>
        <v>UPDATE [MAP].[T_TRANS_VENDOR] SET NEW_VENDOR_ID = 'V0716' WHERE LEGACY_VENDOR_ID = 'PURESTRE' AND DATA_FOLDER_ID = 'sampl'</v>
      </c>
      <c r="F703" t="str">
        <f t="shared" si="34"/>
        <v>Changed</v>
      </c>
      <c r="G703" t="str">
        <f t="shared" si="35"/>
        <v>-</v>
      </c>
    </row>
    <row r="704" spans="1:7" x14ac:dyDescent="0.25">
      <c r="A704" s="2" t="s">
        <v>1</v>
      </c>
      <c r="B704" s="9" t="s">
        <v>741</v>
      </c>
      <c r="C704" t="s">
        <v>1741</v>
      </c>
      <c r="D704" s="5" t="s">
        <v>2741</v>
      </c>
      <c r="E704" t="str">
        <f t="shared" si="33"/>
        <v>UPDATE [MAP].[T_TRANS_VENDOR] SET NEW_VENDOR_ID = 'V0717' WHERE LEGACY_VENDOR_ID = 'PURITYSY' AND DATA_FOLDER_ID = 'sampl'</v>
      </c>
      <c r="F704" t="str">
        <f t="shared" si="34"/>
        <v>Changed</v>
      </c>
      <c r="G704" t="str">
        <f t="shared" si="35"/>
        <v>-</v>
      </c>
    </row>
    <row r="705" spans="1:7" x14ac:dyDescent="0.25">
      <c r="A705" s="2" t="s">
        <v>1</v>
      </c>
      <c r="B705" s="9" t="s">
        <v>742</v>
      </c>
      <c r="C705" t="s">
        <v>1742</v>
      </c>
      <c r="D705" s="5" t="s">
        <v>2742</v>
      </c>
      <c r="E705" t="str">
        <f t="shared" si="33"/>
        <v>UPDATE [MAP].[T_TRANS_VENDOR] SET NEW_VENDOR_ID = 'V0718' WHERE LEGACY_VENDOR_ID = 'PWWASHO0' AND DATA_FOLDER_ID = 'sampl'</v>
      </c>
      <c r="F705" t="str">
        <f t="shared" si="34"/>
        <v>Changed</v>
      </c>
      <c r="G705" t="str">
        <f t="shared" si="35"/>
        <v>-</v>
      </c>
    </row>
    <row r="706" spans="1:7" x14ac:dyDescent="0.25">
      <c r="A706" s="2" t="s">
        <v>1</v>
      </c>
      <c r="B706" s="9" t="s">
        <v>743</v>
      </c>
      <c r="C706" t="s">
        <v>1743</v>
      </c>
      <c r="D706" s="5" t="s">
        <v>2743</v>
      </c>
      <c r="E706" t="str">
        <f t="shared" si="33"/>
        <v>UPDATE [MAP].[T_TRANS_VENDOR] SET NEW_VENDOR_ID = 'V0719' WHERE LEGACY_VENDOR_ID = 'QUANDELJ' AND DATA_FOLDER_ID = 'sampl'</v>
      </c>
      <c r="F706" t="str">
        <f t="shared" si="34"/>
        <v>Changed</v>
      </c>
      <c r="G706" t="str">
        <f t="shared" si="35"/>
        <v>-</v>
      </c>
    </row>
    <row r="707" spans="1:7" x14ac:dyDescent="0.25">
      <c r="A707" s="2" t="s">
        <v>1</v>
      </c>
      <c r="B707" s="9" t="s">
        <v>744</v>
      </c>
      <c r="C707" t="s">
        <v>1744</v>
      </c>
      <c r="D707" s="5" t="s">
        <v>2744</v>
      </c>
      <c r="E707" t="str">
        <f t="shared" si="33"/>
        <v>UPDATE [MAP].[T_TRANS_VENDOR] SET NEW_VENDOR_ID = 'V0720' WHERE LEGACY_VENDOR_ID = 'RAINBOWR' AND DATA_FOLDER_ID = 'sampl'</v>
      </c>
      <c r="F707" t="str">
        <f t="shared" si="34"/>
        <v>Changed</v>
      </c>
      <c r="G707" t="str">
        <f t="shared" si="35"/>
        <v>-</v>
      </c>
    </row>
    <row r="708" spans="1:7" x14ac:dyDescent="0.25">
      <c r="A708" s="2" t="s">
        <v>1</v>
      </c>
      <c r="B708" s="9" t="s">
        <v>745</v>
      </c>
      <c r="C708" t="s">
        <v>1745</v>
      </c>
      <c r="D708" s="5" t="s">
        <v>2745</v>
      </c>
      <c r="E708" t="str">
        <f t="shared" si="33"/>
        <v>UPDATE [MAP].[T_TRANS_VENDOR] SET NEW_VENDOR_ID = 'V0721' WHERE LEGACY_VENDOR_ID = 'RALPHJONES' AND DATA_FOLDER_ID = 'sampl'</v>
      </c>
      <c r="F708" t="str">
        <f t="shared" si="34"/>
        <v>Changed</v>
      </c>
      <c r="G708" t="str">
        <f t="shared" si="35"/>
        <v>-</v>
      </c>
    </row>
    <row r="709" spans="1:7" x14ac:dyDescent="0.25">
      <c r="A709" s="2" t="s">
        <v>1</v>
      </c>
      <c r="B709" s="9" t="s">
        <v>746</v>
      </c>
      <c r="C709" t="s">
        <v>1746</v>
      </c>
      <c r="D709" s="5" t="s">
        <v>2746</v>
      </c>
      <c r="E709" t="str">
        <f t="shared" si="33"/>
        <v>UPDATE [MAP].[T_TRANS_VENDOR] SET NEW_VENDOR_ID = 'V0722' WHERE LEGACY_VENDOR_ID = 'RAMON' AND DATA_FOLDER_ID = 'sampl'</v>
      </c>
      <c r="F709" t="str">
        <f t="shared" si="34"/>
        <v>Changed</v>
      </c>
      <c r="G709" t="str">
        <f t="shared" si="35"/>
        <v>-</v>
      </c>
    </row>
    <row r="710" spans="1:7" x14ac:dyDescent="0.25">
      <c r="A710" s="2" t="s">
        <v>1</v>
      </c>
      <c r="B710" s="9" t="s">
        <v>747</v>
      </c>
      <c r="C710" t="s">
        <v>1747</v>
      </c>
      <c r="D710" s="5" t="s">
        <v>2747</v>
      </c>
      <c r="E710" t="str">
        <f t="shared" si="33"/>
        <v>UPDATE [MAP].[T_TRANS_VENDOR] SET NEW_VENDOR_ID = 'V0723' WHERE LEGACY_VENDOR_ID = 'RANFPENG' AND DATA_FOLDER_ID = 'sampl'</v>
      </c>
      <c r="F710" t="str">
        <f t="shared" si="34"/>
        <v>Changed</v>
      </c>
      <c r="G710" t="str">
        <f t="shared" si="35"/>
        <v>-</v>
      </c>
    </row>
    <row r="711" spans="1:7" x14ac:dyDescent="0.25">
      <c r="A711" s="2" t="s">
        <v>1</v>
      </c>
      <c r="B711" s="9" t="s">
        <v>748</v>
      </c>
      <c r="C711" t="s">
        <v>1748</v>
      </c>
      <c r="D711" s="5" t="s">
        <v>2748</v>
      </c>
      <c r="E711" t="str">
        <f t="shared" si="33"/>
        <v>UPDATE [MAP].[T_TRANS_VENDOR] SET NEW_VENDOR_ID = 'V0724' WHERE LEGACY_VENDOR_ID = 'RAYMONDS' AND DATA_FOLDER_ID = 'sampl'</v>
      </c>
      <c r="F711" t="str">
        <f t="shared" si="34"/>
        <v>Changed</v>
      </c>
      <c r="G711" t="str">
        <f t="shared" si="35"/>
        <v>-</v>
      </c>
    </row>
    <row r="712" spans="1:7" x14ac:dyDescent="0.25">
      <c r="A712" s="2" t="s">
        <v>1</v>
      </c>
      <c r="B712" s="9" t="s">
        <v>749</v>
      </c>
      <c r="C712" t="s">
        <v>1749</v>
      </c>
      <c r="D712" s="5" t="s">
        <v>2749</v>
      </c>
      <c r="E712" t="str">
        <f t="shared" si="33"/>
        <v>UPDATE [MAP].[T_TRANS_VENDOR] SET NEW_VENDOR_ID = 'V0725' WHERE LEGACY_VENDOR_ID = 'RAYNORDO' AND DATA_FOLDER_ID = 'sampl'</v>
      </c>
      <c r="F712" t="str">
        <f t="shared" si="34"/>
        <v>Changed</v>
      </c>
      <c r="G712" t="str">
        <f t="shared" si="35"/>
        <v>-</v>
      </c>
    </row>
    <row r="713" spans="1:7" x14ac:dyDescent="0.25">
      <c r="A713" s="2" t="s">
        <v>1</v>
      </c>
      <c r="B713" s="9" t="s">
        <v>750</v>
      </c>
      <c r="C713" t="s">
        <v>1750</v>
      </c>
      <c r="D713" s="5" t="s">
        <v>2750</v>
      </c>
      <c r="E713" t="str">
        <f t="shared" si="33"/>
        <v>UPDATE [MAP].[T_TRANS_VENDOR] SET NEW_VENDOR_ID = 'V0726' WHERE LEGACY_VENDOR_ID = 'RCCFIBER' AND DATA_FOLDER_ID = 'sampl'</v>
      </c>
      <c r="F713" t="str">
        <f t="shared" si="34"/>
        <v>Changed</v>
      </c>
      <c r="G713" t="str">
        <f t="shared" si="35"/>
        <v>-</v>
      </c>
    </row>
    <row r="714" spans="1:7" x14ac:dyDescent="0.25">
      <c r="A714" s="2" t="s">
        <v>1</v>
      </c>
      <c r="B714" s="9" t="s">
        <v>751</v>
      </c>
      <c r="C714" t="s">
        <v>1751</v>
      </c>
      <c r="D714" s="5" t="s">
        <v>2751</v>
      </c>
      <c r="E714" t="str">
        <f t="shared" si="33"/>
        <v>UPDATE [MAP].[T_TRANS_VENDOR] SET NEW_VENDOR_ID = 'V0727' WHERE LEGACY_VENDOR_ID = 'RCFGROUP' AND DATA_FOLDER_ID = 'sampl'</v>
      </c>
      <c r="F714" t="str">
        <f t="shared" si="34"/>
        <v>Changed</v>
      </c>
      <c r="G714" t="str">
        <f t="shared" si="35"/>
        <v>-</v>
      </c>
    </row>
    <row r="715" spans="1:7" x14ac:dyDescent="0.25">
      <c r="A715" s="2" t="s">
        <v>1</v>
      </c>
      <c r="B715" s="9" t="s">
        <v>752</v>
      </c>
      <c r="C715" t="s">
        <v>1752</v>
      </c>
      <c r="D715" s="5" t="s">
        <v>2752</v>
      </c>
      <c r="E715" t="str">
        <f t="shared" si="33"/>
        <v>UPDATE [MAP].[T_TRANS_VENDOR] SET NEW_VENDOR_ID = 'V0728' WHERE LEGACY_VENDOR_ID = 'RDWEISLL' AND DATA_FOLDER_ID = 'sampl'</v>
      </c>
      <c r="F715" t="str">
        <f t="shared" si="34"/>
        <v>Changed</v>
      </c>
      <c r="G715" t="str">
        <f t="shared" si="35"/>
        <v>-</v>
      </c>
    </row>
    <row r="716" spans="1:7" x14ac:dyDescent="0.25">
      <c r="A716" s="2" t="s">
        <v>1</v>
      </c>
      <c r="B716" s="9" t="s">
        <v>753</v>
      </c>
      <c r="C716" t="s">
        <v>1753</v>
      </c>
      <c r="D716" s="5" t="s">
        <v>2753</v>
      </c>
      <c r="E716" t="str">
        <f t="shared" si="33"/>
        <v>UPDATE [MAP].[T_TRANS_VENDOR] SET NEW_VENDOR_ID = 'V0729' WHERE LEGACY_VENDOR_ID = 'READINGP' AND DATA_FOLDER_ID = 'sampl'</v>
      </c>
      <c r="F716" t="str">
        <f t="shared" si="34"/>
        <v>Changed</v>
      </c>
      <c r="G716" t="str">
        <f t="shared" si="35"/>
        <v>-</v>
      </c>
    </row>
    <row r="717" spans="1:7" x14ac:dyDescent="0.25">
      <c r="A717" s="2" t="s">
        <v>1</v>
      </c>
      <c r="B717" s="9" t="s">
        <v>754</v>
      </c>
      <c r="C717" t="s">
        <v>1754</v>
      </c>
      <c r="D717" s="5" t="s">
        <v>2754</v>
      </c>
      <c r="E717" t="str">
        <f t="shared" si="33"/>
        <v>UPDATE [MAP].[T_TRANS_VENDOR] SET NEW_VENDOR_ID = 'V0730' WHERE LEGACY_VENDOR_ID = 'REDHOTWE' AND DATA_FOLDER_ID = 'sampl'</v>
      </c>
      <c r="F717" t="str">
        <f t="shared" si="34"/>
        <v>Changed</v>
      </c>
      <c r="G717" t="str">
        <f t="shared" si="35"/>
        <v>-</v>
      </c>
    </row>
    <row r="718" spans="1:7" x14ac:dyDescent="0.25">
      <c r="A718" s="2" t="s">
        <v>1</v>
      </c>
      <c r="B718" s="9" t="s">
        <v>755</v>
      </c>
      <c r="C718" t="s">
        <v>1755</v>
      </c>
      <c r="D718" s="5" t="s">
        <v>2755</v>
      </c>
      <c r="E718" t="str">
        <f t="shared" si="33"/>
        <v>UPDATE [MAP].[T_TRANS_VENDOR] SET NEW_VENDOR_ID = 'V0731' WHERE LEGACY_VENDOR_ID = 'REEVESAW' AND DATA_FOLDER_ID = 'sampl'</v>
      </c>
      <c r="F718" t="str">
        <f t="shared" si="34"/>
        <v>Changed</v>
      </c>
      <c r="G718" t="str">
        <f t="shared" si="35"/>
        <v>-</v>
      </c>
    </row>
    <row r="719" spans="1:7" x14ac:dyDescent="0.25">
      <c r="A719" s="2" t="s">
        <v>1</v>
      </c>
      <c r="B719" s="9" t="s">
        <v>756</v>
      </c>
      <c r="C719" t="s">
        <v>1756</v>
      </c>
      <c r="D719" s="5" t="s">
        <v>2756</v>
      </c>
      <c r="E719" t="str">
        <f t="shared" ref="E719:E782" si="36">"UPDATE "&amp;$E$3&amp;" SET NEW_VENDOR_ID = '"&amp;D719&amp;"' WHERE LEGACY_VENDOR_ID = '"&amp;B719&amp;"' AND DATA_FOLDER_ID = '"&amp;$A719&amp;"'"</f>
        <v>UPDATE [MAP].[T_TRANS_VENDOR] SET NEW_VENDOR_ID = 'V0732' WHERE LEGACY_VENDOR_ID = 'REEVESRE' AND DATA_FOLDER_ID = 'sampl'</v>
      </c>
      <c r="F719" t="str">
        <f t="shared" ref="F719:F782" si="37">IF(B719&lt;&gt;D719,"Changed","-")</f>
        <v>Changed</v>
      </c>
      <c r="G719" t="str">
        <f t="shared" ref="G719:G782" si="38">IF(B719="","Hide","-")</f>
        <v>-</v>
      </c>
    </row>
    <row r="720" spans="1:7" x14ac:dyDescent="0.25">
      <c r="A720" s="2" t="s">
        <v>1</v>
      </c>
      <c r="B720" s="9" t="s">
        <v>757</v>
      </c>
      <c r="C720" t="s">
        <v>1757</v>
      </c>
      <c r="D720" s="5" t="s">
        <v>2757</v>
      </c>
      <c r="E720" t="str">
        <f t="shared" si="36"/>
        <v>UPDATE [MAP].[T_TRANS_VENDOR] SET NEW_VENDOR_ID = 'V0733' WHERE LEGACY_VENDOR_ID = 'REGALPAI' AND DATA_FOLDER_ID = 'sampl'</v>
      </c>
      <c r="F720" t="str">
        <f t="shared" si="37"/>
        <v>Changed</v>
      </c>
      <c r="G720" t="str">
        <f t="shared" si="38"/>
        <v>-</v>
      </c>
    </row>
    <row r="721" spans="1:7" x14ac:dyDescent="0.25">
      <c r="A721" s="2" t="s">
        <v>1</v>
      </c>
      <c r="B721" s="9" t="s">
        <v>758</v>
      </c>
      <c r="C721" t="s">
        <v>1758</v>
      </c>
      <c r="D721" s="5" t="s">
        <v>2758</v>
      </c>
      <c r="E721" t="str">
        <f t="shared" si="36"/>
        <v>UPDATE [MAP].[T_TRANS_VENDOR] SET NEW_VENDOR_ID = 'V0734' WHERE LEGACY_VENDOR_ID = 'REILLYAS' AND DATA_FOLDER_ID = 'sampl'</v>
      </c>
      <c r="F721" t="str">
        <f t="shared" si="37"/>
        <v>Changed</v>
      </c>
      <c r="G721" t="str">
        <f t="shared" si="38"/>
        <v>-</v>
      </c>
    </row>
    <row r="722" spans="1:7" x14ac:dyDescent="0.25">
      <c r="A722" s="2" t="s">
        <v>1</v>
      </c>
      <c r="B722" s="9" t="s">
        <v>759</v>
      </c>
      <c r="C722" t="s">
        <v>1759</v>
      </c>
      <c r="D722" s="5" t="s">
        <v>2759</v>
      </c>
      <c r="E722" t="str">
        <f t="shared" si="36"/>
        <v>UPDATE [MAP].[T_TRANS_VENDOR] SET NEW_VENDOR_ID = 'V0735' WHERE LEGACY_VENDOR_ID = 'RELIANT' AND DATA_FOLDER_ID = 'sampl'</v>
      </c>
      <c r="F722" t="str">
        <f t="shared" si="37"/>
        <v>Changed</v>
      </c>
      <c r="G722" t="str">
        <f t="shared" si="38"/>
        <v>-</v>
      </c>
    </row>
    <row r="723" spans="1:7" x14ac:dyDescent="0.25">
      <c r="A723" s="2" t="s">
        <v>1</v>
      </c>
      <c r="B723" s="9" t="s">
        <v>760</v>
      </c>
      <c r="C723" t="s">
        <v>1760</v>
      </c>
      <c r="D723" s="5" t="s">
        <v>2760</v>
      </c>
      <c r="E723" t="str">
        <f t="shared" si="36"/>
        <v>UPDATE [MAP].[T_TRANS_VENDOR] SET NEW_VENDOR_ID = 'V0736' WHERE LEGACY_VENDOR_ID = 'RESEARCH' AND DATA_FOLDER_ID = 'sampl'</v>
      </c>
      <c r="F723" t="str">
        <f t="shared" si="37"/>
        <v>Changed</v>
      </c>
      <c r="G723" t="str">
        <f t="shared" si="38"/>
        <v>-</v>
      </c>
    </row>
    <row r="724" spans="1:7" x14ac:dyDescent="0.25">
      <c r="A724" s="2" t="s">
        <v>1</v>
      </c>
      <c r="B724" s="9" t="s">
        <v>761</v>
      </c>
      <c r="C724" t="s">
        <v>1761</v>
      </c>
      <c r="D724" s="5" t="s">
        <v>2761</v>
      </c>
      <c r="E724" t="str">
        <f t="shared" si="36"/>
        <v>UPDATE [MAP].[T_TRANS_VENDOR] SET NEW_VENDOR_ID = 'V0737' WHERE LEGACY_VENDOR_ID = 'RESTEELS' AND DATA_FOLDER_ID = 'sampl'</v>
      </c>
      <c r="F724" t="str">
        <f t="shared" si="37"/>
        <v>Changed</v>
      </c>
      <c r="G724" t="str">
        <f t="shared" si="38"/>
        <v>-</v>
      </c>
    </row>
    <row r="725" spans="1:7" x14ac:dyDescent="0.25">
      <c r="A725" s="2" t="s">
        <v>1</v>
      </c>
      <c r="B725" s="9" t="s">
        <v>762</v>
      </c>
      <c r="C725" t="s">
        <v>1762</v>
      </c>
      <c r="D725" s="5" t="s">
        <v>2762</v>
      </c>
      <c r="E725" t="str">
        <f t="shared" si="36"/>
        <v>UPDATE [MAP].[T_TRANS_VENDOR] SET NEW_VENDOR_ID = 'V0738' WHERE LEGACY_VENDOR_ID = 'RESTEELWV' AND DATA_FOLDER_ID = 'sampl'</v>
      </c>
      <c r="F725" t="str">
        <f t="shared" si="37"/>
        <v>Changed</v>
      </c>
      <c r="G725" t="str">
        <f t="shared" si="38"/>
        <v>-</v>
      </c>
    </row>
    <row r="726" spans="1:7" x14ac:dyDescent="0.25">
      <c r="A726" s="2" t="s">
        <v>1</v>
      </c>
      <c r="B726" s="9" t="s">
        <v>763</v>
      </c>
      <c r="C726" t="s">
        <v>1763</v>
      </c>
      <c r="D726" s="5" t="s">
        <v>2763</v>
      </c>
      <c r="E726" t="str">
        <f t="shared" si="36"/>
        <v>UPDATE [MAP].[T_TRANS_VENDOR] SET NEW_VENDOR_ID = 'V0739' WHERE LEGACY_VENDOR_ID = 'RETROTH' AND DATA_FOLDER_ID = 'sampl'</v>
      </c>
      <c r="F726" t="str">
        <f t="shared" si="37"/>
        <v>Changed</v>
      </c>
      <c r="G726" t="str">
        <f t="shared" si="38"/>
        <v>-</v>
      </c>
    </row>
    <row r="727" spans="1:7" x14ac:dyDescent="0.25">
      <c r="A727" s="2" t="s">
        <v>1</v>
      </c>
      <c r="B727" s="9" t="s">
        <v>764</v>
      </c>
      <c r="C727" t="s">
        <v>1764</v>
      </c>
      <c r="D727" s="5" t="s">
        <v>2764</v>
      </c>
      <c r="E727" t="str">
        <f t="shared" si="36"/>
        <v>UPDATE [MAP].[T_TRANS_VENDOR] SET NEW_VENDOR_ID = 'V0740' WHERE LEGACY_VENDOR_ID = 'REUTHERB' AND DATA_FOLDER_ID = 'sampl'</v>
      </c>
      <c r="F727" t="str">
        <f t="shared" si="37"/>
        <v>Changed</v>
      </c>
      <c r="G727" t="str">
        <f t="shared" si="38"/>
        <v>-</v>
      </c>
    </row>
    <row r="728" spans="1:7" x14ac:dyDescent="0.25">
      <c r="A728" s="2" t="s">
        <v>1</v>
      </c>
      <c r="B728" s="9" t="s">
        <v>765</v>
      </c>
      <c r="C728" t="s">
        <v>1765</v>
      </c>
      <c r="D728" s="5" t="s">
        <v>2765</v>
      </c>
      <c r="E728" t="str">
        <f t="shared" si="36"/>
        <v>UPDATE [MAP].[T_TRANS_VENDOR] SET NEW_VENDOR_ID = 'V0741' WHERE LEGACY_VENDOR_ID = 'REUTHERN' AND DATA_FOLDER_ID = 'sampl'</v>
      </c>
      <c r="F728" t="str">
        <f t="shared" si="37"/>
        <v>Changed</v>
      </c>
      <c r="G728" t="str">
        <f t="shared" si="38"/>
        <v>-</v>
      </c>
    </row>
    <row r="729" spans="1:7" x14ac:dyDescent="0.25">
      <c r="A729" s="2" t="s">
        <v>1</v>
      </c>
      <c r="B729" s="9" t="s">
        <v>766</v>
      </c>
      <c r="C729" t="s">
        <v>1766</v>
      </c>
      <c r="D729" s="5" t="s">
        <v>2766</v>
      </c>
      <c r="E729" t="str">
        <f t="shared" si="36"/>
        <v>UPDATE [MAP].[T_TRANS_VENDOR] SET NEW_VENDOR_ID = 'V0742' WHERE LEGACY_VENDOR_ID = 'REVENUER' AND DATA_FOLDER_ID = 'sampl'</v>
      </c>
      <c r="F729" t="str">
        <f t="shared" si="37"/>
        <v>Changed</v>
      </c>
      <c r="G729" t="str">
        <f t="shared" si="38"/>
        <v>-</v>
      </c>
    </row>
    <row r="730" spans="1:7" x14ac:dyDescent="0.25">
      <c r="A730" s="2" t="s">
        <v>1</v>
      </c>
      <c r="B730" s="9" t="s">
        <v>767</v>
      </c>
      <c r="C730" t="s">
        <v>1767</v>
      </c>
      <c r="D730" s="5" t="s">
        <v>2767</v>
      </c>
      <c r="E730" t="str">
        <f t="shared" si="36"/>
        <v>UPDATE [MAP].[T_TRANS_VENDOR] SET NEW_VENDOR_ID = 'V0743' WHERE LEGACY_VENDOR_ID = 'RHOADSOH' AND DATA_FOLDER_ID = 'sampl'</v>
      </c>
      <c r="F730" t="str">
        <f t="shared" si="37"/>
        <v>Changed</v>
      </c>
      <c r="G730" t="str">
        <f t="shared" si="38"/>
        <v>-</v>
      </c>
    </row>
    <row r="731" spans="1:7" x14ac:dyDescent="0.25">
      <c r="A731" s="2" t="s">
        <v>1</v>
      </c>
      <c r="B731" s="9" t="s">
        <v>768</v>
      </c>
      <c r="C731" t="s">
        <v>1768</v>
      </c>
      <c r="D731" s="5" t="s">
        <v>2768</v>
      </c>
      <c r="E731" t="str">
        <f t="shared" si="36"/>
        <v>UPDATE [MAP].[T_TRANS_VENDOR] SET NEW_VENDOR_ID = 'V0744' WHERE LEGACY_VENDOR_ID = 'RICHARDPED' AND DATA_FOLDER_ID = 'sampl'</v>
      </c>
      <c r="F731" t="str">
        <f t="shared" si="37"/>
        <v>Changed</v>
      </c>
      <c r="G731" t="str">
        <f t="shared" si="38"/>
        <v>-</v>
      </c>
    </row>
    <row r="732" spans="1:7" x14ac:dyDescent="0.25">
      <c r="A732" s="2" t="s">
        <v>1</v>
      </c>
      <c r="B732" s="9" t="s">
        <v>769</v>
      </c>
      <c r="C732" t="s">
        <v>1769</v>
      </c>
      <c r="D732" s="5" t="s">
        <v>2769</v>
      </c>
      <c r="E732" t="str">
        <f t="shared" si="36"/>
        <v>UPDATE [MAP].[T_TRANS_VENDOR] SET NEW_VENDOR_ID = 'V0745' WHERE LEGACY_VENDOR_ID = 'RICHMELL' AND DATA_FOLDER_ID = 'sampl'</v>
      </c>
      <c r="F732" t="str">
        <f t="shared" si="37"/>
        <v>Changed</v>
      </c>
      <c r="G732" t="str">
        <f t="shared" si="38"/>
        <v>-</v>
      </c>
    </row>
    <row r="733" spans="1:7" x14ac:dyDescent="0.25">
      <c r="A733" s="2" t="s">
        <v>1</v>
      </c>
      <c r="B733" s="9" t="s">
        <v>770</v>
      </c>
      <c r="C733" t="s">
        <v>1770</v>
      </c>
      <c r="D733" s="5" t="s">
        <v>2770</v>
      </c>
      <c r="E733" t="str">
        <f t="shared" si="36"/>
        <v>UPDATE [MAP].[T_TRANS_VENDOR] SET NEW_VENDOR_ID = 'V0746' WHERE LEGACY_VENDOR_ID = 'RIDDLEEN' AND DATA_FOLDER_ID = 'sampl'</v>
      </c>
      <c r="F733" t="str">
        <f t="shared" si="37"/>
        <v>Changed</v>
      </c>
      <c r="G733" t="str">
        <f t="shared" si="38"/>
        <v>-</v>
      </c>
    </row>
    <row r="734" spans="1:7" x14ac:dyDescent="0.25">
      <c r="A734" s="2" t="s">
        <v>1</v>
      </c>
      <c r="B734" s="9" t="s">
        <v>771</v>
      </c>
      <c r="C734" t="s">
        <v>1771</v>
      </c>
      <c r="D734" s="5" t="s">
        <v>2771</v>
      </c>
      <c r="E734" t="str">
        <f t="shared" si="36"/>
        <v>UPDATE [MAP].[T_TRANS_VENDOR] SET NEW_VENDOR_ID = 'V0747' WHERE LEGACY_VENDOR_ID = 'RINEWELD' AND DATA_FOLDER_ID = 'sampl'</v>
      </c>
      <c r="F734" t="str">
        <f t="shared" si="37"/>
        <v>Changed</v>
      </c>
      <c r="G734" t="str">
        <f t="shared" si="38"/>
        <v>-</v>
      </c>
    </row>
    <row r="735" spans="1:7" x14ac:dyDescent="0.25">
      <c r="A735" s="2" t="s">
        <v>1</v>
      </c>
      <c r="B735" s="9" t="s">
        <v>772</v>
      </c>
      <c r="C735" t="s">
        <v>1772</v>
      </c>
      <c r="D735" s="5" t="s">
        <v>2772</v>
      </c>
      <c r="E735" t="str">
        <f t="shared" si="36"/>
        <v>UPDATE [MAP].[T_TRANS_VENDOR] SET NEW_VENDOR_ID = 'V0748' WHERE LEGACY_VENDOR_ID = 'RISECONS' AND DATA_FOLDER_ID = 'sampl'</v>
      </c>
      <c r="F735" t="str">
        <f t="shared" si="37"/>
        <v>Changed</v>
      </c>
      <c r="G735" t="str">
        <f t="shared" si="38"/>
        <v>-</v>
      </c>
    </row>
    <row r="736" spans="1:7" x14ac:dyDescent="0.25">
      <c r="A736" s="2" t="s">
        <v>1</v>
      </c>
      <c r="B736" s="9" t="s">
        <v>773</v>
      </c>
      <c r="C736" t="s">
        <v>1773</v>
      </c>
      <c r="D736" s="5" t="s">
        <v>2773</v>
      </c>
      <c r="E736" t="str">
        <f t="shared" si="36"/>
        <v>UPDATE [MAP].[T_TRANS_VENDOR] SET NEW_VENDOR_ID = 'V0749' WHERE LEGACY_VENDOR_ID = 'RITETEMP' AND DATA_FOLDER_ID = 'sampl'</v>
      </c>
      <c r="F736" t="str">
        <f t="shared" si="37"/>
        <v>Changed</v>
      </c>
      <c r="G736" t="str">
        <f t="shared" si="38"/>
        <v>-</v>
      </c>
    </row>
    <row r="737" spans="1:7" x14ac:dyDescent="0.25">
      <c r="A737" s="2" t="s">
        <v>1</v>
      </c>
      <c r="B737" s="9" t="s">
        <v>774</v>
      </c>
      <c r="C737" t="s">
        <v>1774</v>
      </c>
      <c r="D737" s="5" t="s">
        <v>2774</v>
      </c>
      <c r="E737" t="str">
        <f t="shared" si="36"/>
        <v>UPDATE [MAP].[T_TRANS_VENDOR] SET NEW_VENDOR_ID = 'V0750' WHERE LEGACY_VENDOR_ID = 'RITSICKS' AND DATA_FOLDER_ID = 'sampl'</v>
      </c>
      <c r="F737" t="str">
        <f t="shared" si="37"/>
        <v>Changed</v>
      </c>
      <c r="G737" t="str">
        <f t="shared" si="38"/>
        <v>-</v>
      </c>
    </row>
    <row r="738" spans="1:7" x14ac:dyDescent="0.25">
      <c r="A738" s="2" t="s">
        <v>1</v>
      </c>
      <c r="B738" s="9" t="s">
        <v>775</v>
      </c>
      <c r="C738" t="s">
        <v>1775</v>
      </c>
      <c r="D738" s="5" t="s">
        <v>2775</v>
      </c>
      <c r="E738" t="str">
        <f t="shared" si="36"/>
        <v>UPDATE [MAP].[T_TRANS_VENDOR] SET NEW_VENDOR_ID = 'V0751' WHERE LEGACY_VENDOR_ID = 'RIVEBLOC' AND DATA_FOLDER_ID = 'sampl'</v>
      </c>
      <c r="F738" t="str">
        <f t="shared" si="37"/>
        <v>Changed</v>
      </c>
      <c r="G738" t="str">
        <f t="shared" si="38"/>
        <v>-</v>
      </c>
    </row>
    <row r="739" spans="1:7" x14ac:dyDescent="0.25">
      <c r="A739" s="2" t="s">
        <v>1</v>
      </c>
      <c r="B739" s="9" t="s">
        <v>776</v>
      </c>
      <c r="C739" t="s">
        <v>1776</v>
      </c>
      <c r="D739" s="5" t="s">
        <v>2776</v>
      </c>
      <c r="E739" t="str">
        <f t="shared" si="36"/>
        <v>UPDATE [MAP].[T_TRANS_VENDOR] SET NEW_VENDOR_ID = 'V0752' WHERE LEGACY_VENDOR_ID = 'RJRFABIR' AND DATA_FOLDER_ID = 'sampl'</v>
      </c>
      <c r="F739" t="str">
        <f t="shared" si="37"/>
        <v>Changed</v>
      </c>
      <c r="G739" t="str">
        <f t="shared" si="38"/>
        <v>-</v>
      </c>
    </row>
    <row r="740" spans="1:7" x14ac:dyDescent="0.25">
      <c r="A740" s="2" t="s">
        <v>1</v>
      </c>
      <c r="B740" s="9" t="s">
        <v>777</v>
      </c>
      <c r="C740" t="s">
        <v>1777</v>
      </c>
      <c r="D740" s="5" t="s">
        <v>2777</v>
      </c>
      <c r="E740" t="str">
        <f t="shared" si="36"/>
        <v>UPDATE [MAP].[T_TRANS_VENDOR] SET NEW_VENDOR_ID = 'V0753' WHERE LEGACY_VENDOR_ID = 'RLEENTER' AND DATA_FOLDER_ID = 'sampl'</v>
      </c>
      <c r="F740" t="str">
        <f t="shared" si="37"/>
        <v>Changed</v>
      </c>
      <c r="G740" t="str">
        <f t="shared" si="38"/>
        <v>-</v>
      </c>
    </row>
    <row r="741" spans="1:7" x14ac:dyDescent="0.25">
      <c r="A741" s="2" t="s">
        <v>1</v>
      </c>
      <c r="B741" s="9" t="s">
        <v>778</v>
      </c>
      <c r="C741" t="s">
        <v>1778</v>
      </c>
      <c r="D741" s="5" t="s">
        <v>2778</v>
      </c>
      <c r="E741" t="str">
        <f t="shared" si="36"/>
        <v>UPDATE [MAP].[T_TRANS_VENDOR] SET NEW_VENDOR_ID = 'V0754' WHERE LEGACY_VENDOR_ID = 'RNDEMECK' AND DATA_FOLDER_ID = 'sampl'</v>
      </c>
      <c r="F741" t="str">
        <f t="shared" si="37"/>
        <v>Changed</v>
      </c>
      <c r="G741" t="str">
        <f t="shared" si="38"/>
        <v>-</v>
      </c>
    </row>
    <row r="742" spans="1:7" x14ac:dyDescent="0.25">
      <c r="A742" s="2" t="s">
        <v>1</v>
      </c>
      <c r="B742" s="9" t="s">
        <v>779</v>
      </c>
      <c r="C742" t="s">
        <v>1779</v>
      </c>
      <c r="D742" s="5" t="s">
        <v>2779</v>
      </c>
      <c r="E742" t="str">
        <f t="shared" si="36"/>
        <v>UPDATE [MAP].[T_TRANS_VENDOR] SET NEW_VENDOR_ID = 'V0755' WHERE LEGACY_VENDOR_ID = 'ROBERTBE' AND DATA_FOLDER_ID = 'sampl'</v>
      </c>
      <c r="F742" t="str">
        <f t="shared" si="37"/>
        <v>Changed</v>
      </c>
      <c r="G742" t="str">
        <f t="shared" si="38"/>
        <v>-</v>
      </c>
    </row>
    <row r="743" spans="1:7" x14ac:dyDescent="0.25">
      <c r="A743" s="2" t="s">
        <v>1</v>
      </c>
      <c r="B743" s="9" t="s">
        <v>780</v>
      </c>
      <c r="C743" t="s">
        <v>1780</v>
      </c>
      <c r="D743" s="5" t="s">
        <v>2780</v>
      </c>
      <c r="E743" t="str">
        <f t="shared" si="36"/>
        <v>UPDATE [MAP].[T_TRANS_VENDOR] SET NEW_VENDOR_ID = 'V0756' WHERE LEGACY_VENDOR_ID = 'ROBINSTLC' AND DATA_FOLDER_ID = 'sampl'</v>
      </c>
      <c r="F743" t="str">
        <f t="shared" si="37"/>
        <v>Changed</v>
      </c>
      <c r="G743" t="str">
        <f t="shared" si="38"/>
        <v>-</v>
      </c>
    </row>
    <row r="744" spans="1:7" x14ac:dyDescent="0.25">
      <c r="A744" s="2" t="s">
        <v>1</v>
      </c>
      <c r="B744" s="9" t="s">
        <v>781</v>
      </c>
      <c r="C744" t="s">
        <v>1781</v>
      </c>
      <c r="D744" s="5" t="s">
        <v>2781</v>
      </c>
      <c r="E744" t="str">
        <f t="shared" si="36"/>
        <v>UPDATE [MAP].[T_TRANS_VENDOR] SET NEW_VENDOR_ID = 'V0757' WHERE LEGACY_VENDOR_ID = 'ROCKFUEL' AND DATA_FOLDER_ID = 'sampl'</v>
      </c>
      <c r="F744" t="str">
        <f t="shared" si="37"/>
        <v>Changed</v>
      </c>
      <c r="G744" t="str">
        <f t="shared" si="38"/>
        <v>-</v>
      </c>
    </row>
    <row r="745" spans="1:7" x14ac:dyDescent="0.25">
      <c r="A745" s="2" t="s">
        <v>1</v>
      </c>
      <c r="B745" s="9" t="s">
        <v>782</v>
      </c>
      <c r="C745" t="s">
        <v>1782</v>
      </c>
      <c r="D745" s="5" t="s">
        <v>2782</v>
      </c>
      <c r="E745" t="str">
        <f t="shared" si="36"/>
        <v>UPDATE [MAP].[T_TRANS_VENDOR] SET NEW_VENDOR_ID = 'V0758' WHERE LEGACY_VENDOR_ID = 'ROGERSSE' AND DATA_FOLDER_ID = 'sampl'</v>
      </c>
      <c r="F745" t="str">
        <f t="shared" si="37"/>
        <v>Changed</v>
      </c>
      <c r="G745" t="str">
        <f t="shared" si="38"/>
        <v>-</v>
      </c>
    </row>
    <row r="746" spans="1:7" x14ac:dyDescent="0.25">
      <c r="A746" s="2" t="s">
        <v>1</v>
      </c>
      <c r="B746" s="9" t="s">
        <v>783</v>
      </c>
      <c r="C746" t="s">
        <v>1783</v>
      </c>
      <c r="D746" s="5" t="s">
        <v>2783</v>
      </c>
      <c r="E746" t="str">
        <f t="shared" si="36"/>
        <v>UPDATE [MAP].[T_TRANS_VENDOR] SET NEW_VENDOR_ID = 'V0759' WHERE LEGACY_VENDOR_ID = 'RULONINTER' AND DATA_FOLDER_ID = 'sampl'</v>
      </c>
      <c r="F746" t="str">
        <f t="shared" si="37"/>
        <v>Changed</v>
      </c>
      <c r="G746" t="str">
        <f t="shared" si="38"/>
        <v>-</v>
      </c>
    </row>
    <row r="747" spans="1:7" x14ac:dyDescent="0.25">
      <c r="A747" s="2" t="s">
        <v>1</v>
      </c>
      <c r="B747" s="9" t="s">
        <v>784</v>
      </c>
      <c r="C747" t="s">
        <v>1784</v>
      </c>
      <c r="D747" s="5" t="s">
        <v>2784</v>
      </c>
      <c r="E747" t="str">
        <f t="shared" si="36"/>
        <v>UPDATE [MAP].[T_TRANS_VENDOR] SET NEW_VENDOR_ID = 'V0760' WHERE LEGACY_VENDOR_ID = 'RUTKOSKI' AND DATA_FOLDER_ID = 'sampl'</v>
      </c>
      <c r="F747" t="str">
        <f t="shared" si="37"/>
        <v>Changed</v>
      </c>
      <c r="G747" t="str">
        <f t="shared" si="38"/>
        <v>-</v>
      </c>
    </row>
    <row r="748" spans="1:7" x14ac:dyDescent="0.25">
      <c r="A748" s="2" t="s">
        <v>1</v>
      </c>
      <c r="B748" s="9" t="s">
        <v>785</v>
      </c>
      <c r="C748" t="s">
        <v>1785</v>
      </c>
      <c r="D748" s="5" t="s">
        <v>2785</v>
      </c>
      <c r="E748" t="str">
        <f t="shared" si="36"/>
        <v>UPDATE [MAP].[T_TRANS_VENDOR] SET NEW_VENDOR_ID = 'V0761' WHERE LEGACY_VENDOR_ID = 'S&amp;SSTRUC' AND DATA_FOLDER_ID = 'sampl'</v>
      </c>
      <c r="F748" t="str">
        <f t="shared" si="37"/>
        <v>Changed</v>
      </c>
      <c r="G748" t="str">
        <f t="shared" si="38"/>
        <v>-</v>
      </c>
    </row>
    <row r="749" spans="1:7" x14ac:dyDescent="0.25">
      <c r="A749" s="2" t="s">
        <v>1</v>
      </c>
      <c r="B749" s="9" t="s">
        <v>786</v>
      </c>
      <c r="C749" t="s">
        <v>1786</v>
      </c>
      <c r="D749" s="5" t="s">
        <v>2786</v>
      </c>
      <c r="E749" t="str">
        <f t="shared" si="36"/>
        <v>UPDATE [MAP].[T_TRANS_VENDOR] SET NEW_VENDOR_ID = 'V0762' WHERE LEGACY_VENDOR_ID = 'S&amp;STOOLS' AND DATA_FOLDER_ID = 'sampl'</v>
      </c>
      <c r="F749" t="str">
        <f t="shared" si="37"/>
        <v>Changed</v>
      </c>
      <c r="G749" t="str">
        <f t="shared" si="38"/>
        <v>-</v>
      </c>
    </row>
    <row r="750" spans="1:7" x14ac:dyDescent="0.25">
      <c r="A750" s="2" t="s">
        <v>1</v>
      </c>
      <c r="B750" s="9" t="s">
        <v>787</v>
      </c>
      <c r="C750" t="s">
        <v>1787</v>
      </c>
      <c r="D750" s="5" t="s">
        <v>2787</v>
      </c>
      <c r="E750" t="str">
        <f t="shared" si="36"/>
        <v>UPDATE [MAP].[T_TRANS_VENDOR] SET NEW_VENDOR_ID = 'V0763' WHERE LEGACY_VENDOR_ID = 'SACOMUNALE' AND DATA_FOLDER_ID = 'sampl'</v>
      </c>
      <c r="F750" t="str">
        <f t="shared" si="37"/>
        <v>Changed</v>
      </c>
      <c r="G750" t="str">
        <f t="shared" si="38"/>
        <v>-</v>
      </c>
    </row>
    <row r="751" spans="1:7" x14ac:dyDescent="0.25">
      <c r="A751" s="2" t="s">
        <v>1</v>
      </c>
      <c r="B751" s="9" t="s">
        <v>788</v>
      </c>
      <c r="C751" t="s">
        <v>1788</v>
      </c>
      <c r="D751" s="5" t="s">
        <v>2788</v>
      </c>
      <c r="E751" t="str">
        <f t="shared" si="36"/>
        <v>UPDATE [MAP].[T_TRANS_VENDOR] SET NEW_VENDOR_ID = 'V0764' WHERE LEGACY_VENDOR_ID = 'SAFELITE' AND DATA_FOLDER_ID = 'sampl'</v>
      </c>
      <c r="F751" t="str">
        <f t="shared" si="37"/>
        <v>Changed</v>
      </c>
      <c r="G751" t="str">
        <f t="shared" si="38"/>
        <v>-</v>
      </c>
    </row>
    <row r="752" spans="1:7" x14ac:dyDescent="0.25">
      <c r="A752" s="2" t="s">
        <v>1</v>
      </c>
      <c r="B752" s="9" t="s">
        <v>789</v>
      </c>
      <c r="C752" t="s">
        <v>1789</v>
      </c>
      <c r="D752" s="5" t="s">
        <v>2789</v>
      </c>
      <c r="E752" t="str">
        <f t="shared" si="36"/>
        <v>UPDATE [MAP].[T_TRANS_VENDOR] SET NEW_VENDOR_ID = 'V0765' WHERE LEGACY_VENDOR_ID = 'SAFESERV' AND DATA_FOLDER_ID = 'sampl'</v>
      </c>
      <c r="F752" t="str">
        <f t="shared" si="37"/>
        <v>Changed</v>
      </c>
      <c r="G752" t="str">
        <f t="shared" si="38"/>
        <v>-</v>
      </c>
    </row>
    <row r="753" spans="1:7" x14ac:dyDescent="0.25">
      <c r="A753" s="2" t="s">
        <v>1</v>
      </c>
      <c r="B753" s="9" t="s">
        <v>790</v>
      </c>
      <c r="C753" t="s">
        <v>1790</v>
      </c>
      <c r="D753" s="5" t="s">
        <v>2790</v>
      </c>
      <c r="E753" t="str">
        <f t="shared" si="36"/>
        <v>UPDATE [MAP].[T_TRANS_VENDOR] SET NEW_VENDOR_ID = 'V0766' WHERE LEGACY_VENDOR_ID = 'SANDRAPAL' AND DATA_FOLDER_ID = 'sampl'</v>
      </c>
      <c r="F753" t="str">
        <f t="shared" si="37"/>
        <v>Changed</v>
      </c>
      <c r="G753" t="str">
        <f t="shared" si="38"/>
        <v>-</v>
      </c>
    </row>
    <row r="754" spans="1:7" x14ac:dyDescent="0.25">
      <c r="A754" s="2" t="s">
        <v>1</v>
      </c>
      <c r="B754" s="9" t="s">
        <v>791</v>
      </c>
      <c r="C754" t="s">
        <v>1791</v>
      </c>
      <c r="D754" s="5" t="s">
        <v>2791</v>
      </c>
      <c r="E754" t="str">
        <f t="shared" si="36"/>
        <v>UPDATE [MAP].[T_TRANS_VENDOR] SET NEW_VENDOR_ID = 'V0768' WHERE LEGACY_VENDOR_ID = 'SANTAPAR' AND DATA_FOLDER_ID = 'sampl'</v>
      </c>
      <c r="F754" t="str">
        <f t="shared" si="37"/>
        <v>Changed</v>
      </c>
      <c r="G754" t="str">
        <f t="shared" si="38"/>
        <v>-</v>
      </c>
    </row>
    <row r="755" spans="1:7" x14ac:dyDescent="0.25">
      <c r="A755" s="2" t="s">
        <v>1</v>
      </c>
      <c r="B755" s="9" t="s">
        <v>792</v>
      </c>
      <c r="C755" t="s">
        <v>1792</v>
      </c>
      <c r="D755" s="5" t="s">
        <v>2792</v>
      </c>
      <c r="E755" t="str">
        <f t="shared" si="36"/>
        <v>UPDATE [MAP].[T_TRANS_VENDOR] SET NEW_VENDOR_ID = 'V0769' WHERE LEGACY_VENDOR_ID = 'SARTORIU' AND DATA_FOLDER_ID = 'sampl'</v>
      </c>
      <c r="F755" t="str">
        <f t="shared" si="37"/>
        <v>Changed</v>
      </c>
      <c r="G755" t="str">
        <f t="shared" si="38"/>
        <v>-</v>
      </c>
    </row>
    <row r="756" spans="1:7" x14ac:dyDescent="0.25">
      <c r="A756" s="2" t="s">
        <v>1</v>
      </c>
      <c r="B756" s="9" t="s">
        <v>793</v>
      </c>
      <c r="C756" t="s">
        <v>1793</v>
      </c>
      <c r="D756" s="5" t="s">
        <v>2793</v>
      </c>
      <c r="E756" t="str">
        <f t="shared" si="36"/>
        <v>UPDATE [MAP].[T_TRANS_VENDOR] SET NEW_VENDOR_ID = 'V0770' WHERE LEGACY_VENDOR_ID = 'SAVWAY' AND DATA_FOLDER_ID = 'sampl'</v>
      </c>
      <c r="F756" t="str">
        <f t="shared" si="37"/>
        <v>Changed</v>
      </c>
      <c r="G756" t="str">
        <f t="shared" si="38"/>
        <v>-</v>
      </c>
    </row>
    <row r="757" spans="1:7" x14ac:dyDescent="0.25">
      <c r="A757" s="2" t="s">
        <v>1</v>
      </c>
      <c r="B757" s="9" t="s">
        <v>794</v>
      </c>
      <c r="C757" t="s">
        <v>1794</v>
      </c>
      <c r="D757" s="5" t="s">
        <v>2794</v>
      </c>
      <c r="E757" t="str">
        <f t="shared" si="36"/>
        <v>UPDATE [MAP].[T_TRANS_VENDOR] SET NEW_VENDOR_ID = 'V0771' WHERE LEGACY_VENDOR_ID = 'SAYCORE0' AND DATA_FOLDER_ID = 'sampl'</v>
      </c>
      <c r="F757" t="str">
        <f t="shared" si="37"/>
        <v>Changed</v>
      </c>
      <c r="G757" t="str">
        <f t="shared" si="38"/>
        <v>-</v>
      </c>
    </row>
    <row r="758" spans="1:7" x14ac:dyDescent="0.25">
      <c r="A758" s="2" t="s">
        <v>1</v>
      </c>
      <c r="B758" s="9" t="s">
        <v>795</v>
      </c>
      <c r="C758" t="s">
        <v>1795</v>
      </c>
      <c r="D758" s="5" t="s">
        <v>2795</v>
      </c>
      <c r="E758" t="str">
        <f t="shared" si="36"/>
        <v>UPDATE [MAP].[T_TRANS_VENDOR] SET NEW_VENDOR_ID = 'V0772' WHERE LEGACY_VENDOR_ID = 'SBCOTTON' AND DATA_FOLDER_ID = 'sampl'</v>
      </c>
      <c r="F758" t="str">
        <f t="shared" si="37"/>
        <v>Changed</v>
      </c>
      <c r="G758" t="str">
        <f t="shared" si="38"/>
        <v>-</v>
      </c>
    </row>
    <row r="759" spans="1:7" x14ac:dyDescent="0.25">
      <c r="A759" s="2" t="s">
        <v>1</v>
      </c>
      <c r="B759" s="9" t="s">
        <v>796</v>
      </c>
      <c r="C759" t="s">
        <v>1796</v>
      </c>
      <c r="D759" s="5" t="s">
        <v>2796</v>
      </c>
      <c r="E759" t="str">
        <f t="shared" si="36"/>
        <v>UPDATE [MAP].[T_TRANS_VENDOR] SET NEW_VENDOR_ID = 'V0773' WHERE LEGACY_VENDOR_ID = 'SCANDALE' AND DATA_FOLDER_ID = 'sampl'</v>
      </c>
      <c r="F759" t="str">
        <f t="shared" si="37"/>
        <v>Changed</v>
      </c>
      <c r="G759" t="str">
        <f t="shared" si="38"/>
        <v>-</v>
      </c>
    </row>
    <row r="760" spans="1:7" x14ac:dyDescent="0.25">
      <c r="A760" s="2" t="s">
        <v>1</v>
      </c>
      <c r="B760" s="9" t="s">
        <v>797</v>
      </c>
      <c r="C760" t="s">
        <v>1797</v>
      </c>
      <c r="D760" s="5" t="s">
        <v>2797</v>
      </c>
      <c r="E760" t="str">
        <f t="shared" si="36"/>
        <v>UPDATE [MAP].[T_TRANS_VENDOR] SET NEW_VENDOR_ID = 'V0774' WHERE LEGACY_VENDOR_ID = 'SCHINDLER' AND DATA_FOLDER_ID = 'sampl'</v>
      </c>
      <c r="F760" t="str">
        <f t="shared" si="37"/>
        <v>Changed</v>
      </c>
      <c r="G760" t="str">
        <f t="shared" si="38"/>
        <v>-</v>
      </c>
    </row>
    <row r="761" spans="1:7" x14ac:dyDescent="0.25">
      <c r="A761" s="2" t="s">
        <v>1</v>
      </c>
      <c r="B761" s="9" t="s">
        <v>798</v>
      </c>
      <c r="C761" t="s">
        <v>1798</v>
      </c>
      <c r="D761" s="5" t="s">
        <v>2798</v>
      </c>
      <c r="E761" t="str">
        <f t="shared" si="36"/>
        <v>UPDATE [MAP].[T_TRANS_VENDOR] SET NEW_VENDOR_ID = 'V0775' WHERE LEGACY_VENDOR_ID = 'SCHRADER' AND DATA_FOLDER_ID = 'sampl'</v>
      </c>
      <c r="F761" t="str">
        <f t="shared" si="37"/>
        <v>Changed</v>
      </c>
      <c r="G761" t="str">
        <f t="shared" si="38"/>
        <v>-</v>
      </c>
    </row>
    <row r="762" spans="1:7" x14ac:dyDescent="0.25">
      <c r="A762" s="2" t="s">
        <v>1</v>
      </c>
      <c r="B762" s="9" t="s">
        <v>799</v>
      </c>
      <c r="C762" t="s">
        <v>1799</v>
      </c>
      <c r="D762" s="5" t="s">
        <v>2799</v>
      </c>
      <c r="E762" t="str">
        <f t="shared" si="36"/>
        <v>UPDATE [MAP].[T_TRANS_VENDOR] SET NEW_VENDOR_ID = 'V0776' WHERE LEGACY_VENDOR_ID = 'SCONDROS' AND DATA_FOLDER_ID = 'sampl'</v>
      </c>
      <c r="F762" t="str">
        <f t="shared" si="37"/>
        <v>Changed</v>
      </c>
      <c r="G762" t="str">
        <f t="shared" si="38"/>
        <v>-</v>
      </c>
    </row>
    <row r="763" spans="1:7" x14ac:dyDescent="0.25">
      <c r="A763" s="2" t="s">
        <v>1</v>
      </c>
      <c r="B763" s="9" t="s">
        <v>800</v>
      </c>
      <c r="C763" t="s">
        <v>1800</v>
      </c>
      <c r="D763" s="5" t="s">
        <v>2800</v>
      </c>
      <c r="E763" t="str">
        <f t="shared" si="36"/>
        <v>UPDATE [MAP].[T_TRANS_VENDOR] SET NEW_VENDOR_ID = 'V0777' WHERE LEGACY_VENDOR_ID = 'SCRACLEA' AND DATA_FOLDER_ID = 'sampl'</v>
      </c>
      <c r="F763" t="str">
        <f t="shared" si="37"/>
        <v>Changed</v>
      </c>
      <c r="G763" t="str">
        <f t="shared" si="38"/>
        <v>-</v>
      </c>
    </row>
    <row r="764" spans="1:7" x14ac:dyDescent="0.25">
      <c r="A764" s="2" t="s">
        <v>1</v>
      </c>
      <c r="B764" s="9" t="s">
        <v>801</v>
      </c>
      <c r="C764" t="s">
        <v>1801</v>
      </c>
      <c r="D764" s="5" t="s">
        <v>2801</v>
      </c>
      <c r="E764" t="str">
        <f t="shared" si="36"/>
        <v>UPDATE [MAP].[T_TRANS_VENDOR] SET NEW_VENDOR_ID = 'V0778' WHERE LEGACY_VENDOR_ID = 'SCRANTONGL' AND DATA_FOLDER_ID = 'sampl'</v>
      </c>
      <c r="F764" t="str">
        <f t="shared" si="37"/>
        <v>Changed</v>
      </c>
      <c r="G764" t="str">
        <f t="shared" si="38"/>
        <v>-</v>
      </c>
    </row>
    <row r="765" spans="1:7" x14ac:dyDescent="0.25">
      <c r="A765" s="2" t="s">
        <v>1</v>
      </c>
      <c r="B765" s="9" t="s">
        <v>802</v>
      </c>
      <c r="C765" t="s">
        <v>1802</v>
      </c>
      <c r="D765" s="5" t="s">
        <v>2802</v>
      </c>
      <c r="E765" t="str">
        <f t="shared" si="36"/>
        <v>UPDATE [MAP].[T_TRANS_VENDOR] SET NEW_VENDOR_ID = 'V0779' WHERE LEGACY_VENDOR_ID = 'SCRCRAFT' AND DATA_FOLDER_ID = 'sampl'</v>
      </c>
      <c r="F765" t="str">
        <f t="shared" si="37"/>
        <v>Changed</v>
      </c>
      <c r="G765" t="str">
        <f t="shared" si="38"/>
        <v>-</v>
      </c>
    </row>
    <row r="766" spans="1:7" x14ac:dyDescent="0.25">
      <c r="A766" s="2" t="s">
        <v>1</v>
      </c>
      <c r="B766" s="9" t="s">
        <v>803</v>
      </c>
      <c r="C766" t="s">
        <v>1803</v>
      </c>
      <c r="D766" s="5" t="s">
        <v>2803</v>
      </c>
      <c r="E766" t="str">
        <f t="shared" si="36"/>
        <v>UPDATE [MAP].[T_TRANS_VENDOR] SET NEW_VENDOR_ID = 'V0780' WHERE LEGACY_VENDOR_ID = 'SCRDODGE' AND DATA_FOLDER_ID = 'sampl'</v>
      </c>
      <c r="F766" t="str">
        <f t="shared" si="37"/>
        <v>Changed</v>
      </c>
      <c r="G766" t="str">
        <f t="shared" si="38"/>
        <v>-</v>
      </c>
    </row>
    <row r="767" spans="1:7" x14ac:dyDescent="0.25">
      <c r="A767" s="2" t="s">
        <v>1</v>
      </c>
      <c r="B767" s="9" t="s">
        <v>804</v>
      </c>
      <c r="C767" t="s">
        <v>1804</v>
      </c>
      <c r="D767" s="5" t="s">
        <v>2804</v>
      </c>
      <c r="E767" t="str">
        <f t="shared" si="36"/>
        <v>UPDATE [MAP].[T_TRANS_VENDOR] SET NEW_VENDOR_ID = 'V0781' WHERE LEGACY_VENDOR_ID = 'SCRELECT' AND DATA_FOLDER_ID = 'sampl'</v>
      </c>
      <c r="F767" t="str">
        <f t="shared" si="37"/>
        <v>Changed</v>
      </c>
      <c r="G767" t="str">
        <f t="shared" si="38"/>
        <v>-</v>
      </c>
    </row>
    <row r="768" spans="1:7" x14ac:dyDescent="0.25">
      <c r="A768" s="2" t="s">
        <v>1</v>
      </c>
      <c r="B768" s="9" t="s">
        <v>805</v>
      </c>
      <c r="C768" t="s">
        <v>1805</v>
      </c>
      <c r="D768" s="5" t="s">
        <v>2805</v>
      </c>
      <c r="E768" t="str">
        <f t="shared" si="36"/>
        <v>UPDATE [MAP].[T_TRANS_VENDOR] SET NEW_VENDOR_ID = 'V0782' WHERE LEGACY_VENDOR_ID = 'SCRPLAN' AND DATA_FOLDER_ID = 'sampl'</v>
      </c>
      <c r="F768" t="str">
        <f t="shared" si="37"/>
        <v>Changed</v>
      </c>
      <c r="G768" t="str">
        <f t="shared" si="38"/>
        <v>-</v>
      </c>
    </row>
    <row r="769" spans="1:7" x14ac:dyDescent="0.25">
      <c r="A769" s="2" t="s">
        <v>1</v>
      </c>
      <c r="B769" s="9" t="s">
        <v>806</v>
      </c>
      <c r="C769" t="s">
        <v>1806</v>
      </c>
      <c r="D769" s="5" t="s">
        <v>2806</v>
      </c>
      <c r="E769" t="str">
        <f t="shared" si="36"/>
        <v>UPDATE [MAP].[T_TRANS_VENDOR] SET NEW_VENDOR_ID = 'V0783' WHERE LEGACY_VENDOR_ID = 'SCRPRINT' AND DATA_FOLDER_ID = 'sampl'</v>
      </c>
      <c r="F769" t="str">
        <f t="shared" si="37"/>
        <v>Changed</v>
      </c>
      <c r="G769" t="str">
        <f t="shared" si="38"/>
        <v>-</v>
      </c>
    </row>
    <row r="770" spans="1:7" x14ac:dyDescent="0.25">
      <c r="A770" s="2" t="s">
        <v>1</v>
      </c>
      <c r="B770" s="9" t="s">
        <v>807</v>
      </c>
      <c r="C770" t="s">
        <v>1807</v>
      </c>
      <c r="D770" s="5" t="s">
        <v>2807</v>
      </c>
      <c r="E770" t="str">
        <f t="shared" si="36"/>
        <v>UPDATE [MAP].[T_TRANS_VENDOR] SET NEW_VENDOR_ID = 'V0784' WHERE LEGACY_VENDOR_ID = 'SCRTIMES' AND DATA_FOLDER_ID = 'sampl'</v>
      </c>
      <c r="F770" t="str">
        <f t="shared" si="37"/>
        <v>Changed</v>
      </c>
      <c r="G770" t="str">
        <f t="shared" si="38"/>
        <v>-</v>
      </c>
    </row>
    <row r="771" spans="1:7" x14ac:dyDescent="0.25">
      <c r="A771" s="2" t="s">
        <v>1</v>
      </c>
      <c r="B771" s="9" t="s">
        <v>808</v>
      </c>
      <c r="C771" t="s">
        <v>1808</v>
      </c>
      <c r="D771" s="5" t="s">
        <v>2808</v>
      </c>
      <c r="E771" t="str">
        <f t="shared" si="36"/>
        <v>UPDATE [MAP].[T_TRANS_VENDOR] SET NEW_VENDOR_ID = 'V0785' WHERE LEGACY_VENDOR_ID = 'SDAARCHIT' AND DATA_FOLDER_ID = 'sampl'</v>
      </c>
      <c r="F771" t="str">
        <f t="shared" si="37"/>
        <v>Changed</v>
      </c>
      <c r="G771" t="str">
        <f t="shared" si="38"/>
        <v>-</v>
      </c>
    </row>
    <row r="772" spans="1:7" x14ac:dyDescent="0.25">
      <c r="A772" s="2" t="s">
        <v>1</v>
      </c>
      <c r="B772" s="9" t="s">
        <v>809</v>
      </c>
      <c r="C772" t="s">
        <v>1809</v>
      </c>
      <c r="D772" s="5" t="s">
        <v>2809</v>
      </c>
      <c r="E772" t="str">
        <f t="shared" si="36"/>
        <v>UPDATE [MAP].[T_TRANS_VENDOR] SET NEW_VENDOR_ID = 'V0786' WHERE LEGACY_VENDOR_ID = 'SEANBYRN' AND DATA_FOLDER_ID = 'sampl'</v>
      </c>
      <c r="F772" t="str">
        <f t="shared" si="37"/>
        <v>Changed</v>
      </c>
      <c r="G772" t="str">
        <f t="shared" si="38"/>
        <v>-</v>
      </c>
    </row>
    <row r="773" spans="1:7" x14ac:dyDescent="0.25">
      <c r="A773" s="2" t="s">
        <v>1</v>
      </c>
      <c r="B773" s="9" t="s">
        <v>810</v>
      </c>
      <c r="C773" t="s">
        <v>1810</v>
      </c>
      <c r="D773" s="5" t="s">
        <v>2810</v>
      </c>
      <c r="E773" t="str">
        <f t="shared" si="36"/>
        <v>UPDATE [MAP].[T_TRANS_VENDOR] SET NEW_VENDOR_ID = 'V0787' WHERE LEGACY_VENDOR_ID = 'SECAPFIN' AND DATA_FOLDER_ID = 'sampl'</v>
      </c>
      <c r="F773" t="str">
        <f t="shared" si="37"/>
        <v>Changed</v>
      </c>
      <c r="G773" t="str">
        <f t="shared" si="38"/>
        <v>-</v>
      </c>
    </row>
    <row r="774" spans="1:7" x14ac:dyDescent="0.25">
      <c r="A774" s="2" t="s">
        <v>1</v>
      </c>
      <c r="B774" s="9" t="s">
        <v>811</v>
      </c>
      <c r="C774" t="s">
        <v>1811</v>
      </c>
      <c r="D774" s="5" t="s">
        <v>2811</v>
      </c>
      <c r="E774" t="str">
        <f t="shared" si="36"/>
        <v>UPDATE [MAP].[T_TRANS_VENDOR] SET NEW_VENDOR_ID = 'V0788' WHERE LEGACY_VENDOR_ID = 'SECURITY' AND DATA_FOLDER_ID = 'sampl'</v>
      </c>
      <c r="F774" t="str">
        <f t="shared" si="37"/>
        <v>Changed</v>
      </c>
      <c r="G774" t="str">
        <f t="shared" si="38"/>
        <v>-</v>
      </c>
    </row>
    <row r="775" spans="1:7" x14ac:dyDescent="0.25">
      <c r="A775" s="2" t="s">
        <v>1</v>
      </c>
      <c r="B775" s="9" t="s">
        <v>812</v>
      </c>
      <c r="C775" t="s">
        <v>1812</v>
      </c>
      <c r="D775" s="5" t="s">
        <v>2812</v>
      </c>
      <c r="E775" t="str">
        <f t="shared" si="36"/>
        <v>UPDATE [MAP].[T_TRANS_VENDOR] SET NEW_VENDOR_ID = 'V0789' WHERE LEGACY_VENDOR_ID = 'SELECTIVE' AND DATA_FOLDER_ID = 'sampl'</v>
      </c>
      <c r="F775" t="str">
        <f t="shared" si="37"/>
        <v>Changed</v>
      </c>
      <c r="G775" t="str">
        <f t="shared" si="38"/>
        <v>-</v>
      </c>
    </row>
    <row r="776" spans="1:7" x14ac:dyDescent="0.25">
      <c r="A776" s="2" t="s">
        <v>1</v>
      </c>
      <c r="B776" s="9" t="s">
        <v>813</v>
      </c>
      <c r="C776" t="s">
        <v>1813</v>
      </c>
      <c r="D776" s="5" t="s">
        <v>2813</v>
      </c>
      <c r="E776" t="str">
        <f t="shared" si="36"/>
        <v>UPDATE [MAP].[T_TRANS_VENDOR] SET NEW_VENDOR_ID = 'V0790' WHERE LEGACY_VENDOR_ID = 'SERENITY' AND DATA_FOLDER_ID = 'sampl'</v>
      </c>
      <c r="F776" t="str">
        <f t="shared" si="37"/>
        <v>Changed</v>
      </c>
      <c r="G776" t="str">
        <f t="shared" si="38"/>
        <v>-</v>
      </c>
    </row>
    <row r="777" spans="1:7" x14ac:dyDescent="0.25">
      <c r="A777" s="2" t="s">
        <v>1</v>
      </c>
      <c r="B777" s="9" t="s">
        <v>814</v>
      </c>
      <c r="C777" t="s">
        <v>1814</v>
      </c>
      <c r="D777" s="5" t="s">
        <v>2814</v>
      </c>
      <c r="E777" t="str">
        <f t="shared" si="36"/>
        <v>UPDATE [MAP].[T_TRANS_VENDOR] SET NEW_VENDOR_ID = 'V0791' WHERE LEGACY_VENDOR_ID = 'SERVICEE' AND DATA_FOLDER_ID = 'sampl'</v>
      </c>
      <c r="F777" t="str">
        <f t="shared" si="37"/>
        <v>Changed</v>
      </c>
      <c r="G777" t="str">
        <f t="shared" si="38"/>
        <v>-</v>
      </c>
    </row>
    <row r="778" spans="1:7" x14ac:dyDescent="0.25">
      <c r="A778" s="2" t="s">
        <v>1</v>
      </c>
      <c r="B778" s="9" t="s">
        <v>815</v>
      </c>
      <c r="C778" t="s">
        <v>1815</v>
      </c>
      <c r="D778" s="5" t="s">
        <v>2815</v>
      </c>
      <c r="E778" t="str">
        <f t="shared" si="36"/>
        <v>UPDATE [MAP].[T_TRANS_VENDOR] SET NEW_VENDOR_ID = 'V0792' WHERE LEGACY_VENDOR_ID = 'SETINSTO' AND DATA_FOLDER_ID = 'sampl'</v>
      </c>
      <c r="F778" t="str">
        <f t="shared" si="37"/>
        <v>Changed</v>
      </c>
      <c r="G778" t="str">
        <f t="shared" si="38"/>
        <v>-</v>
      </c>
    </row>
    <row r="779" spans="1:7" x14ac:dyDescent="0.25">
      <c r="A779" s="2" t="s">
        <v>1</v>
      </c>
      <c r="B779" s="9" t="s">
        <v>816</v>
      </c>
      <c r="C779" t="s">
        <v>1816</v>
      </c>
      <c r="D779" s="5" t="s">
        <v>2816</v>
      </c>
      <c r="E779" t="str">
        <f t="shared" si="36"/>
        <v>UPDATE [MAP].[T_TRANS_VENDOR] SET NEW_VENDOR_ID = 'V0793' WHERE LEGACY_VENDOR_ID = 'SHADESUN' AND DATA_FOLDER_ID = 'sampl'</v>
      </c>
      <c r="F779" t="str">
        <f t="shared" si="37"/>
        <v>Changed</v>
      </c>
      <c r="G779" t="str">
        <f t="shared" si="38"/>
        <v>-</v>
      </c>
    </row>
    <row r="780" spans="1:7" x14ac:dyDescent="0.25">
      <c r="A780" s="2" t="s">
        <v>1</v>
      </c>
      <c r="B780" s="9" t="s">
        <v>817</v>
      </c>
      <c r="C780" t="s">
        <v>1817</v>
      </c>
      <c r="D780" s="5" t="s">
        <v>2817</v>
      </c>
      <c r="E780" t="str">
        <f t="shared" si="36"/>
        <v>UPDATE [MAP].[T_TRANS_VENDOR] SET NEW_VENDOR_ID = 'V0794' WHERE LEGACY_VENDOR_ID = 'SHARPENG' AND DATA_FOLDER_ID = 'sampl'</v>
      </c>
      <c r="F780" t="str">
        <f t="shared" si="37"/>
        <v>Changed</v>
      </c>
      <c r="G780" t="str">
        <f t="shared" si="38"/>
        <v>-</v>
      </c>
    </row>
    <row r="781" spans="1:7" x14ac:dyDescent="0.25">
      <c r="A781" s="2" t="s">
        <v>1</v>
      </c>
      <c r="B781" s="9" t="s">
        <v>818</v>
      </c>
      <c r="C781" t="s">
        <v>1818</v>
      </c>
      <c r="D781" s="5" t="s">
        <v>2818</v>
      </c>
      <c r="E781" t="str">
        <f t="shared" si="36"/>
        <v>UPDATE [MAP].[T_TRANS_VENDOR] SET NEW_VENDOR_ID = 'V0795' WHERE LEGACY_VENDOR_ID = 'SHENPUMP' AND DATA_FOLDER_ID = 'sampl'</v>
      </c>
      <c r="F781" t="str">
        <f t="shared" si="37"/>
        <v>Changed</v>
      </c>
      <c r="G781" t="str">
        <f t="shared" si="38"/>
        <v>-</v>
      </c>
    </row>
    <row r="782" spans="1:7" x14ac:dyDescent="0.25">
      <c r="A782" s="2" t="s">
        <v>1</v>
      </c>
      <c r="B782" s="9" t="s">
        <v>819</v>
      </c>
      <c r="C782" t="s">
        <v>1819</v>
      </c>
      <c r="D782" s="5" t="s">
        <v>2819</v>
      </c>
      <c r="E782" t="str">
        <f t="shared" si="36"/>
        <v>UPDATE [MAP].[T_TRANS_VENDOR] SET NEW_VENDOR_ID = 'V0796' WHERE LEGACY_VENDOR_ID = 'SHEPHERD' AND DATA_FOLDER_ID = 'sampl'</v>
      </c>
      <c r="F782" t="str">
        <f t="shared" si="37"/>
        <v>Changed</v>
      </c>
      <c r="G782" t="str">
        <f t="shared" si="38"/>
        <v>-</v>
      </c>
    </row>
    <row r="783" spans="1:7" x14ac:dyDescent="0.25">
      <c r="A783" s="2" t="s">
        <v>1</v>
      </c>
      <c r="B783" s="9" t="s">
        <v>820</v>
      </c>
      <c r="C783" t="s">
        <v>1820</v>
      </c>
      <c r="D783" s="5" t="s">
        <v>2820</v>
      </c>
      <c r="E783" t="str">
        <f t="shared" ref="E783:E846" si="39">"UPDATE "&amp;$E$3&amp;" SET NEW_VENDOR_ID = '"&amp;D783&amp;"' WHERE LEGACY_VENDOR_ID = '"&amp;B783&amp;"' AND DATA_FOLDER_ID = '"&amp;$A783&amp;"'"</f>
        <v>UPDATE [MAP].[T_TRANS_VENDOR] SET NEW_VENDOR_ID = 'V0797' WHERE LEGACY_VENDOR_ID = 'SHERWINW' AND DATA_FOLDER_ID = 'sampl'</v>
      </c>
      <c r="F783" t="str">
        <f t="shared" ref="F783:F846" si="40">IF(B783&lt;&gt;D783,"Changed","-")</f>
        <v>Changed</v>
      </c>
      <c r="G783" t="str">
        <f t="shared" ref="G783:G846" si="41">IF(B783="","Hide","-")</f>
        <v>-</v>
      </c>
    </row>
    <row r="784" spans="1:7" x14ac:dyDescent="0.25">
      <c r="A784" s="2" t="s">
        <v>1</v>
      </c>
      <c r="B784" s="9" t="s">
        <v>821</v>
      </c>
      <c r="C784" t="s">
        <v>1821</v>
      </c>
      <c r="D784" s="5" t="s">
        <v>2821</v>
      </c>
      <c r="E784" t="str">
        <f t="shared" si="39"/>
        <v>UPDATE [MAP].[T_TRANS_VENDOR] SET NEW_VENDOR_ID = 'V0798' WHERE LEGACY_VENDOR_ID = 'SHIELDRF' AND DATA_FOLDER_ID = 'sampl'</v>
      </c>
      <c r="F784" t="str">
        <f t="shared" si="40"/>
        <v>Changed</v>
      </c>
      <c r="G784" t="str">
        <f t="shared" si="41"/>
        <v>-</v>
      </c>
    </row>
    <row r="785" spans="1:7" x14ac:dyDescent="0.25">
      <c r="A785" s="2" t="s">
        <v>1</v>
      </c>
      <c r="B785" s="9" t="s">
        <v>822</v>
      </c>
      <c r="C785" t="s">
        <v>1822</v>
      </c>
      <c r="D785" s="5" t="s">
        <v>2822</v>
      </c>
      <c r="E785" t="str">
        <f t="shared" si="39"/>
        <v>UPDATE [MAP].[T_TRANS_VENDOR] SET NEW_VENDOR_ID = 'V0799' WHERE LEGACY_VENDOR_ID = 'SIEMENSI' AND DATA_FOLDER_ID = 'sampl'</v>
      </c>
      <c r="F785" t="str">
        <f t="shared" si="40"/>
        <v>Changed</v>
      </c>
      <c r="G785" t="str">
        <f t="shared" si="41"/>
        <v>-</v>
      </c>
    </row>
    <row r="786" spans="1:7" x14ac:dyDescent="0.25">
      <c r="A786" s="2" t="s">
        <v>1</v>
      </c>
      <c r="B786" s="9" t="s">
        <v>823</v>
      </c>
      <c r="C786" t="s">
        <v>1823</v>
      </c>
      <c r="D786" s="5" t="s">
        <v>2823</v>
      </c>
      <c r="E786" t="str">
        <f t="shared" si="39"/>
        <v>UPDATE [MAP].[T_TRANS_VENDOR] SET NEW_VENDOR_ID = 'V0800' WHERE LEGACY_VENDOR_ID = 'SIGACOVER' AND DATA_FOLDER_ID = 'sampl'</v>
      </c>
      <c r="F786" t="str">
        <f t="shared" si="40"/>
        <v>Changed</v>
      </c>
      <c r="G786" t="str">
        <f t="shared" si="41"/>
        <v>-</v>
      </c>
    </row>
    <row r="787" spans="1:7" x14ac:dyDescent="0.25">
      <c r="A787" s="2" t="s">
        <v>1</v>
      </c>
      <c r="B787" s="9" t="s">
        <v>824</v>
      </c>
      <c r="C787" t="s">
        <v>1824</v>
      </c>
      <c r="D787" s="5" t="s">
        <v>2824</v>
      </c>
      <c r="E787" t="str">
        <f t="shared" si="39"/>
        <v>UPDATE [MAP].[T_TRANS_VENDOR] SET NEW_VENDOR_ID = 'V0801' WHERE LEGACY_VENDOR_ID = 'SIGNATUR' AND DATA_FOLDER_ID = 'sampl'</v>
      </c>
      <c r="F787" t="str">
        <f t="shared" si="40"/>
        <v>Changed</v>
      </c>
      <c r="G787" t="str">
        <f t="shared" si="41"/>
        <v>-</v>
      </c>
    </row>
    <row r="788" spans="1:7" x14ac:dyDescent="0.25">
      <c r="A788" s="2" t="s">
        <v>1</v>
      </c>
      <c r="B788" s="9" t="s">
        <v>825</v>
      </c>
      <c r="C788" t="s">
        <v>1825</v>
      </c>
      <c r="D788" s="5" t="s">
        <v>2825</v>
      </c>
      <c r="E788" t="str">
        <f t="shared" si="39"/>
        <v>UPDATE [MAP].[T_TRANS_VENDOR] SET NEW_VENDOR_ID = 'V0802' WHERE LEGACY_VENDOR_ID = 'SILENTIA' AND DATA_FOLDER_ID = 'sampl'</v>
      </c>
      <c r="F788" t="str">
        <f t="shared" si="40"/>
        <v>Changed</v>
      </c>
      <c r="G788" t="str">
        <f t="shared" si="41"/>
        <v>-</v>
      </c>
    </row>
    <row r="789" spans="1:7" x14ac:dyDescent="0.25">
      <c r="A789" s="2" t="s">
        <v>1</v>
      </c>
      <c r="B789" s="9" t="s">
        <v>826</v>
      </c>
      <c r="C789" t="s">
        <v>1826</v>
      </c>
      <c r="D789" s="5" t="s">
        <v>2826</v>
      </c>
      <c r="E789" t="str">
        <f t="shared" si="39"/>
        <v>UPDATE [MAP].[T_TRANS_VENDOR] SET NEW_VENDOR_ID = 'V0803' WHERE LEGACY_VENDOR_ID = 'SIMPLEXI' AND DATA_FOLDER_ID = 'sampl'</v>
      </c>
      <c r="F789" t="str">
        <f t="shared" si="40"/>
        <v>Changed</v>
      </c>
      <c r="G789" t="str">
        <f t="shared" si="41"/>
        <v>-</v>
      </c>
    </row>
    <row r="790" spans="1:7" x14ac:dyDescent="0.25">
      <c r="A790" s="2" t="s">
        <v>1</v>
      </c>
      <c r="B790" s="9" t="s">
        <v>827</v>
      </c>
      <c r="C790" t="s">
        <v>1827</v>
      </c>
      <c r="D790" s="5" t="s">
        <v>2827</v>
      </c>
      <c r="E790" t="str">
        <f t="shared" si="39"/>
        <v>UPDATE [MAP].[T_TRANS_VENDOR] SET NEW_VENDOR_ID = 'V0804' WHERE LEGACY_VENDOR_ID = 'SIMPLIFY' AND DATA_FOLDER_ID = 'sampl'</v>
      </c>
      <c r="F790" t="str">
        <f t="shared" si="40"/>
        <v>Changed</v>
      </c>
      <c r="G790" t="str">
        <f t="shared" si="41"/>
        <v>-</v>
      </c>
    </row>
    <row r="791" spans="1:7" x14ac:dyDescent="0.25">
      <c r="A791" s="2" t="s">
        <v>1</v>
      </c>
      <c r="B791" s="9" t="s">
        <v>828</v>
      </c>
      <c r="C791" t="s">
        <v>1828</v>
      </c>
      <c r="D791" s="5" t="s">
        <v>2828</v>
      </c>
      <c r="E791" t="str">
        <f t="shared" si="39"/>
        <v>UPDATE [MAP].[T_TRANS_VENDOR] SET NEW_VENDOR_ID = 'V0805' WHERE LEGACY_VENDOR_ID = 'SIMSONA0' AND DATA_FOLDER_ID = 'sampl'</v>
      </c>
      <c r="F791" t="str">
        <f t="shared" si="40"/>
        <v>Changed</v>
      </c>
      <c r="G791" t="str">
        <f t="shared" si="41"/>
        <v>-</v>
      </c>
    </row>
    <row r="792" spans="1:7" x14ac:dyDescent="0.25">
      <c r="A792" s="2" t="s">
        <v>1</v>
      </c>
      <c r="B792" s="9" t="s">
        <v>829</v>
      </c>
      <c r="C792" t="s">
        <v>1829</v>
      </c>
      <c r="D792" s="5" t="s">
        <v>2829</v>
      </c>
      <c r="E792" t="str">
        <f t="shared" si="39"/>
        <v>UPDATE [MAP].[T_TRANS_VENDOR] SET NEW_VENDOR_ID = 'V0806' WHERE LEGACY_VENDOR_ID = 'SKELDING' AND DATA_FOLDER_ID = 'sampl'</v>
      </c>
      <c r="F792" t="str">
        <f t="shared" si="40"/>
        <v>Changed</v>
      </c>
      <c r="G792" t="str">
        <f t="shared" si="41"/>
        <v>-</v>
      </c>
    </row>
    <row r="793" spans="1:7" x14ac:dyDescent="0.25">
      <c r="A793" s="2" t="s">
        <v>1</v>
      </c>
      <c r="B793" s="9" t="s">
        <v>830</v>
      </c>
      <c r="C793" t="s">
        <v>1830</v>
      </c>
      <c r="D793" s="5" t="s">
        <v>2830</v>
      </c>
      <c r="E793" t="str">
        <f t="shared" si="39"/>
        <v>UPDATE [MAP].[T_TRANS_VENDOR] SET NEW_VENDOR_ID = 'V0807' WHERE LEGACY_VENDOR_ID = 'SKYWORKS' AND DATA_FOLDER_ID = 'sampl'</v>
      </c>
      <c r="F793" t="str">
        <f t="shared" si="40"/>
        <v>Changed</v>
      </c>
      <c r="G793" t="str">
        <f t="shared" si="41"/>
        <v>-</v>
      </c>
    </row>
    <row r="794" spans="1:7" x14ac:dyDescent="0.25">
      <c r="A794" s="2" t="s">
        <v>1</v>
      </c>
      <c r="B794" s="9" t="s">
        <v>831</v>
      </c>
      <c r="C794" t="s">
        <v>1831</v>
      </c>
      <c r="D794" s="5" t="s">
        <v>2831</v>
      </c>
      <c r="E794" t="str">
        <f t="shared" si="39"/>
        <v>UPDATE [MAP].[T_TRANS_VENDOR] SET NEW_VENDOR_ID = 'V0808' WHERE LEGACY_VENDOR_ID = 'SLUSSERB' AND DATA_FOLDER_ID = 'sampl'</v>
      </c>
      <c r="F794" t="str">
        <f t="shared" si="40"/>
        <v>Changed</v>
      </c>
      <c r="G794" t="str">
        <f t="shared" si="41"/>
        <v>-</v>
      </c>
    </row>
    <row r="795" spans="1:7" x14ac:dyDescent="0.25">
      <c r="A795" s="2" t="s">
        <v>1</v>
      </c>
      <c r="B795" s="9" t="s">
        <v>832</v>
      </c>
      <c r="C795" t="s">
        <v>1832</v>
      </c>
      <c r="D795" s="5" t="s">
        <v>2832</v>
      </c>
      <c r="E795" t="str">
        <f t="shared" si="39"/>
        <v>UPDATE [MAP].[T_TRANS_VENDOR] SET NEW_VENDOR_ID = 'V0809' WHERE LEGACY_VENDOR_ID = 'SMARTREC' AND DATA_FOLDER_ID = 'sampl'</v>
      </c>
      <c r="F795" t="str">
        <f t="shared" si="40"/>
        <v>Changed</v>
      </c>
      <c r="G795" t="str">
        <f t="shared" si="41"/>
        <v>-</v>
      </c>
    </row>
    <row r="796" spans="1:7" x14ac:dyDescent="0.25">
      <c r="A796" s="2" t="s">
        <v>1</v>
      </c>
      <c r="B796" s="9" t="s">
        <v>833</v>
      </c>
      <c r="C796" t="s">
        <v>1833</v>
      </c>
      <c r="D796" s="5" t="s">
        <v>2833</v>
      </c>
      <c r="E796" t="str">
        <f t="shared" si="39"/>
        <v>UPDATE [MAP].[T_TRANS_VENDOR] SET NEW_VENDOR_ID = 'V0810' WHERE LEGACY_VENDOR_ID = 'SMITHMIL' AND DATA_FOLDER_ID = 'sampl'</v>
      </c>
      <c r="F796" t="str">
        <f t="shared" si="40"/>
        <v>Changed</v>
      </c>
      <c r="G796" t="str">
        <f t="shared" si="41"/>
        <v>-</v>
      </c>
    </row>
    <row r="797" spans="1:7" x14ac:dyDescent="0.25">
      <c r="A797" s="2" t="s">
        <v>1</v>
      </c>
      <c r="B797" s="9" t="s">
        <v>834</v>
      </c>
      <c r="C797" t="s">
        <v>1834</v>
      </c>
      <c r="D797" s="5" t="s">
        <v>2834</v>
      </c>
      <c r="E797" t="str">
        <f t="shared" si="39"/>
        <v>UPDATE [MAP].[T_TRANS_VENDOR] SET NEW_VENDOR_ID = 'V0811' WHERE LEGACY_VENDOR_ID = 'SOBECKROOF' AND DATA_FOLDER_ID = 'sampl'</v>
      </c>
      <c r="F797" t="str">
        <f t="shared" si="40"/>
        <v>Changed</v>
      </c>
      <c r="G797" t="str">
        <f t="shared" si="41"/>
        <v>-</v>
      </c>
    </row>
    <row r="798" spans="1:7" x14ac:dyDescent="0.25">
      <c r="A798" s="2" t="s">
        <v>1</v>
      </c>
      <c r="B798" s="9" t="s">
        <v>835</v>
      </c>
      <c r="C798" t="s">
        <v>1835</v>
      </c>
      <c r="D798" s="5" t="s">
        <v>2835</v>
      </c>
      <c r="E798" t="str">
        <f t="shared" si="39"/>
        <v>UPDATE [MAP].[T_TRANS_VENDOR] SET NEW_VENDOR_ID = 'V0812' WHERE LEGACY_VENDOR_ID = 'SONCOWOR' AND DATA_FOLDER_ID = 'sampl'</v>
      </c>
      <c r="F798" t="str">
        <f t="shared" si="40"/>
        <v>Changed</v>
      </c>
      <c r="G798" t="str">
        <f t="shared" si="41"/>
        <v>-</v>
      </c>
    </row>
    <row r="799" spans="1:7" x14ac:dyDescent="0.25">
      <c r="A799" s="2" t="s">
        <v>1</v>
      </c>
      <c r="B799" s="9" t="s">
        <v>836</v>
      </c>
      <c r="C799" t="s">
        <v>1836</v>
      </c>
      <c r="D799" s="5" t="s">
        <v>2836</v>
      </c>
      <c r="E799" t="str">
        <f t="shared" si="39"/>
        <v>UPDATE [MAP].[T_TRANS_VENDOR] SET NEW_VENDOR_ID = 'V0813' WHERE LEGACY_VENDOR_ID = 'SOUTHEAM' AND DATA_FOLDER_ID = 'sampl'</v>
      </c>
      <c r="F799" t="str">
        <f t="shared" si="40"/>
        <v>Changed</v>
      </c>
      <c r="G799" t="str">
        <f t="shared" si="41"/>
        <v>-</v>
      </c>
    </row>
    <row r="800" spans="1:7" x14ac:dyDescent="0.25">
      <c r="A800" s="2" t="s">
        <v>1</v>
      </c>
      <c r="B800" s="9" t="s">
        <v>837</v>
      </c>
      <c r="C800" t="s">
        <v>1837</v>
      </c>
      <c r="D800" s="5" t="s">
        <v>2837</v>
      </c>
      <c r="E800" t="str">
        <f t="shared" si="39"/>
        <v>UPDATE [MAP].[T_TRANS_VENDOR] SET NEW_VENDOR_ID = 'V0814' WHERE LEGACY_VENDOR_ID = 'SOUTHSHO' AND DATA_FOLDER_ID = 'sampl'</v>
      </c>
      <c r="F800" t="str">
        <f t="shared" si="40"/>
        <v>Changed</v>
      </c>
      <c r="G800" t="str">
        <f t="shared" si="41"/>
        <v>-</v>
      </c>
    </row>
    <row r="801" spans="1:7" x14ac:dyDescent="0.25">
      <c r="A801" s="2" t="s">
        <v>1</v>
      </c>
      <c r="B801" s="9" t="s">
        <v>838</v>
      </c>
      <c r="C801" t="s">
        <v>1838</v>
      </c>
      <c r="D801" s="5" t="s">
        <v>2838</v>
      </c>
      <c r="E801" t="str">
        <f t="shared" si="39"/>
        <v>UPDATE [MAP].[T_TRANS_VENDOR] SET NEW_VENDOR_ID = 'V0815' WHERE LEGACY_VENDOR_ID = 'SPARCONA' AND DATA_FOLDER_ID = 'sampl'</v>
      </c>
      <c r="F801" t="str">
        <f t="shared" si="40"/>
        <v>Changed</v>
      </c>
      <c r="G801" t="str">
        <f t="shared" si="41"/>
        <v>-</v>
      </c>
    </row>
    <row r="802" spans="1:7" x14ac:dyDescent="0.25">
      <c r="A802" s="2" t="s">
        <v>1</v>
      </c>
      <c r="B802" s="9" t="s">
        <v>839</v>
      </c>
      <c r="C802" t="s">
        <v>1839</v>
      </c>
      <c r="D802" s="5" t="s">
        <v>2839</v>
      </c>
      <c r="E802" t="str">
        <f t="shared" si="39"/>
        <v>UPDATE [MAP].[T_TRANS_VENDOR] SET NEW_VENDOR_ID = 'V0816' WHERE LEGACY_VENDOR_ID = 'SPECTRAC' AND DATA_FOLDER_ID = 'sampl'</v>
      </c>
      <c r="F802" t="str">
        <f t="shared" si="40"/>
        <v>Changed</v>
      </c>
      <c r="G802" t="str">
        <f t="shared" si="41"/>
        <v>-</v>
      </c>
    </row>
    <row r="803" spans="1:7" x14ac:dyDescent="0.25">
      <c r="A803" s="2" t="s">
        <v>1</v>
      </c>
      <c r="B803" s="9" t="s">
        <v>840</v>
      </c>
      <c r="C803" t="s">
        <v>1840</v>
      </c>
      <c r="D803" s="5" t="s">
        <v>2840</v>
      </c>
      <c r="E803" t="str">
        <f t="shared" si="39"/>
        <v>UPDATE [MAP].[T_TRANS_VENDOR] SET NEW_VENDOR_ID = 'V0817' WHERE LEGACY_VENDOR_ID = 'SPOTTCON' AND DATA_FOLDER_ID = 'sampl'</v>
      </c>
      <c r="F803" t="str">
        <f t="shared" si="40"/>
        <v>Changed</v>
      </c>
      <c r="G803" t="str">
        <f t="shared" si="41"/>
        <v>-</v>
      </c>
    </row>
    <row r="804" spans="1:7" x14ac:dyDescent="0.25">
      <c r="A804" s="2" t="s">
        <v>1</v>
      </c>
      <c r="B804" s="9" t="s">
        <v>841</v>
      </c>
      <c r="C804" t="s">
        <v>1841</v>
      </c>
      <c r="D804" s="5" t="s">
        <v>2841</v>
      </c>
      <c r="E804" t="str">
        <f t="shared" si="39"/>
        <v>UPDATE [MAP].[T_TRANS_VENDOR] SET NEW_VENDOR_ID = 'V0818' WHERE LEGACY_VENDOR_ID = 'SPOTTINS' AND DATA_FOLDER_ID = 'sampl'</v>
      </c>
      <c r="F804" t="str">
        <f t="shared" si="40"/>
        <v>Changed</v>
      </c>
      <c r="G804" t="str">
        <f t="shared" si="41"/>
        <v>-</v>
      </c>
    </row>
    <row r="805" spans="1:7" x14ac:dyDescent="0.25">
      <c r="A805" s="2" t="s">
        <v>1</v>
      </c>
      <c r="B805" s="9" t="s">
        <v>842</v>
      </c>
      <c r="C805" t="s">
        <v>1842</v>
      </c>
      <c r="D805" s="5" t="s">
        <v>2842</v>
      </c>
      <c r="E805" t="str">
        <f t="shared" si="39"/>
        <v>UPDATE [MAP].[T_TRANS_VENDOR] SET NEW_VENDOR_ID = 'V0819' WHERE LEGACY_VENDOR_ID = 'SPRAYSYS' AND DATA_FOLDER_ID = 'sampl'</v>
      </c>
      <c r="F805" t="str">
        <f t="shared" si="40"/>
        <v>Changed</v>
      </c>
      <c r="G805" t="str">
        <f t="shared" si="41"/>
        <v>-</v>
      </c>
    </row>
    <row r="806" spans="1:7" x14ac:dyDescent="0.25">
      <c r="A806" s="2" t="s">
        <v>1</v>
      </c>
      <c r="B806" s="9" t="s">
        <v>843</v>
      </c>
      <c r="C806" t="s">
        <v>1843</v>
      </c>
      <c r="D806" s="5" t="s">
        <v>2843</v>
      </c>
      <c r="E806" t="str">
        <f t="shared" si="39"/>
        <v>UPDATE [MAP].[T_TRANS_VENDOR] SET NEW_VENDOR_ID = 'V0820' WHERE LEGACY_VENDOR_ID = 'SPROULCO' AND DATA_FOLDER_ID = 'sampl'</v>
      </c>
      <c r="F806" t="str">
        <f t="shared" si="40"/>
        <v>Changed</v>
      </c>
      <c r="G806" t="str">
        <f t="shared" si="41"/>
        <v>-</v>
      </c>
    </row>
    <row r="807" spans="1:7" x14ac:dyDescent="0.25">
      <c r="A807" s="2" t="s">
        <v>1</v>
      </c>
      <c r="B807" s="9" t="s">
        <v>844</v>
      </c>
      <c r="C807" t="s">
        <v>1844</v>
      </c>
      <c r="D807" s="5" t="s">
        <v>2844</v>
      </c>
      <c r="E807" t="str">
        <f t="shared" si="39"/>
        <v>UPDATE [MAP].[T_TRANS_VENDOR] SET NEW_VENDOR_ID = 'V0821' WHERE LEGACY_VENDOR_ID = 'STAINLES' AND DATA_FOLDER_ID = 'sampl'</v>
      </c>
      <c r="F807" t="str">
        <f t="shared" si="40"/>
        <v>Changed</v>
      </c>
      <c r="G807" t="str">
        <f t="shared" si="41"/>
        <v>-</v>
      </c>
    </row>
    <row r="808" spans="1:7" x14ac:dyDescent="0.25">
      <c r="A808" s="2" t="s">
        <v>1</v>
      </c>
      <c r="B808" s="9" t="s">
        <v>845</v>
      </c>
      <c r="C808" t="s">
        <v>1845</v>
      </c>
      <c r="D808" s="5" t="s">
        <v>2845</v>
      </c>
      <c r="E808" t="str">
        <f t="shared" si="39"/>
        <v>UPDATE [MAP].[T_TRANS_VENDOR] SET NEW_VENDOR_ID = 'V0822' WHERE LEGACY_VENDOR_ID = 'STANDARD' AND DATA_FOLDER_ID = 'sampl'</v>
      </c>
      <c r="F808" t="str">
        <f t="shared" si="40"/>
        <v>Changed</v>
      </c>
      <c r="G808" t="str">
        <f t="shared" si="41"/>
        <v>-</v>
      </c>
    </row>
    <row r="809" spans="1:7" x14ac:dyDescent="0.25">
      <c r="A809" s="2" t="s">
        <v>1</v>
      </c>
      <c r="B809" s="9" t="s">
        <v>846</v>
      </c>
      <c r="C809" t="s">
        <v>1846</v>
      </c>
      <c r="D809" s="5" t="s">
        <v>2846</v>
      </c>
      <c r="E809" t="str">
        <f t="shared" si="39"/>
        <v>UPDATE [MAP].[T_TRANS_VENDOR] SET NEW_VENDOR_ID = 'V0823' WHERE LEGACY_VENDOR_ID = 'STANDAWN' AND DATA_FOLDER_ID = 'sampl'</v>
      </c>
      <c r="F809" t="str">
        <f t="shared" si="40"/>
        <v>Changed</v>
      </c>
      <c r="G809" t="str">
        <f t="shared" si="41"/>
        <v>-</v>
      </c>
    </row>
    <row r="810" spans="1:7" x14ac:dyDescent="0.25">
      <c r="A810" s="2" t="s">
        <v>1</v>
      </c>
      <c r="B810" s="9" t="s">
        <v>847</v>
      </c>
      <c r="C810" t="s">
        <v>1847</v>
      </c>
      <c r="D810" s="5" t="s">
        <v>2847</v>
      </c>
      <c r="E810" t="str">
        <f t="shared" si="39"/>
        <v>UPDATE [MAP].[T_TRANS_VENDOR] SET NEW_VENDOR_ID = 'V0824' WHERE LEGACY_VENDOR_ID = 'STANDINS' AND DATA_FOLDER_ID = 'sampl'</v>
      </c>
      <c r="F810" t="str">
        <f t="shared" si="40"/>
        <v>Changed</v>
      </c>
      <c r="G810" t="str">
        <f t="shared" si="41"/>
        <v>-</v>
      </c>
    </row>
    <row r="811" spans="1:7" x14ac:dyDescent="0.25">
      <c r="A811" s="2" t="s">
        <v>1</v>
      </c>
      <c r="B811" s="9" t="s">
        <v>848</v>
      </c>
      <c r="C811" t="s">
        <v>1848</v>
      </c>
      <c r="D811" s="5" t="s">
        <v>2848</v>
      </c>
      <c r="E811" t="str">
        <f t="shared" si="39"/>
        <v>UPDATE [MAP].[T_TRANS_VENDOR] SET NEW_VENDOR_ID = 'V0825' WHERE LEGACY_VENDOR_ID = 'STANFORD' AND DATA_FOLDER_ID = 'sampl'</v>
      </c>
      <c r="F811" t="str">
        <f t="shared" si="40"/>
        <v>Changed</v>
      </c>
      <c r="G811" t="str">
        <f t="shared" si="41"/>
        <v>-</v>
      </c>
    </row>
    <row r="812" spans="1:7" x14ac:dyDescent="0.25">
      <c r="A812" s="2" t="s">
        <v>1</v>
      </c>
      <c r="B812" s="9" t="s">
        <v>849</v>
      </c>
      <c r="C812" t="s">
        <v>1849</v>
      </c>
      <c r="D812" s="5" t="s">
        <v>2849</v>
      </c>
      <c r="E812" t="str">
        <f t="shared" si="39"/>
        <v>UPDATE [MAP].[T_TRANS_VENDOR] SET NEW_VENDOR_ID = 'V0826' WHERE LEGACY_VENDOR_ID = 'STANLEYA' AND DATA_FOLDER_ID = 'sampl'</v>
      </c>
      <c r="F812" t="str">
        <f t="shared" si="40"/>
        <v>Changed</v>
      </c>
      <c r="G812" t="str">
        <f t="shared" si="41"/>
        <v>-</v>
      </c>
    </row>
    <row r="813" spans="1:7" x14ac:dyDescent="0.25">
      <c r="A813" s="2" t="s">
        <v>1</v>
      </c>
      <c r="B813" s="9" t="s">
        <v>850</v>
      </c>
      <c r="C813" t="s">
        <v>1850</v>
      </c>
      <c r="D813" s="5" t="s">
        <v>2850</v>
      </c>
      <c r="E813" t="str">
        <f t="shared" si="39"/>
        <v>UPDATE [MAP].[T_TRANS_VENDOR] SET NEW_VENDOR_ID = 'V0827' WHERE LEGACY_VENDOR_ID = 'STANTECC' AND DATA_FOLDER_ID = 'sampl'</v>
      </c>
      <c r="F813" t="str">
        <f t="shared" si="40"/>
        <v>Changed</v>
      </c>
      <c r="G813" t="str">
        <f t="shared" si="41"/>
        <v>-</v>
      </c>
    </row>
    <row r="814" spans="1:7" x14ac:dyDescent="0.25">
      <c r="A814" s="2" t="s">
        <v>1</v>
      </c>
      <c r="B814" s="9" t="s">
        <v>851</v>
      </c>
      <c r="C814" t="s">
        <v>1851</v>
      </c>
      <c r="D814" s="5" t="s">
        <v>2851</v>
      </c>
      <c r="E814" t="str">
        <f t="shared" si="39"/>
        <v>UPDATE [MAP].[T_TRANS_VENDOR] SET NEW_VENDOR_ID = 'V0828' WHERE LEGACY_VENDOR_ID = 'STARSLLC' AND DATA_FOLDER_ID = 'sampl'</v>
      </c>
      <c r="F814" t="str">
        <f t="shared" si="40"/>
        <v>Changed</v>
      </c>
      <c r="G814" t="str">
        <f t="shared" si="41"/>
        <v>-</v>
      </c>
    </row>
    <row r="815" spans="1:7" x14ac:dyDescent="0.25">
      <c r="A815" s="2" t="s">
        <v>1</v>
      </c>
      <c r="B815" s="9" t="s">
        <v>852</v>
      </c>
      <c r="C815" t="s">
        <v>1852</v>
      </c>
      <c r="D815" s="5" t="s">
        <v>2852</v>
      </c>
      <c r="E815" t="str">
        <f t="shared" si="39"/>
        <v>UPDATE [MAP].[T_TRANS_VENDOR] SET NEW_VENDOR_ID = 'V0829' WHERE LEGACY_VENDOR_ID = 'STAUFFER' AND DATA_FOLDER_ID = 'sampl'</v>
      </c>
      <c r="F815" t="str">
        <f t="shared" si="40"/>
        <v>Changed</v>
      </c>
      <c r="G815" t="str">
        <f t="shared" si="41"/>
        <v>-</v>
      </c>
    </row>
    <row r="816" spans="1:7" x14ac:dyDescent="0.25">
      <c r="A816" s="2" t="s">
        <v>1</v>
      </c>
      <c r="B816" s="9" t="s">
        <v>853</v>
      </c>
      <c r="C816" t="s">
        <v>1853</v>
      </c>
      <c r="D816" s="5" t="s">
        <v>2853</v>
      </c>
      <c r="E816" t="str">
        <f t="shared" si="39"/>
        <v>UPDATE [MAP].[T_TRANS_VENDOR] SET NEW_VENDOR_ID = 'V0830' WHERE LEGACY_VENDOR_ID = 'STEELESH' AND DATA_FOLDER_ID = 'sampl'</v>
      </c>
      <c r="F816" t="str">
        <f t="shared" si="40"/>
        <v>Changed</v>
      </c>
      <c r="G816" t="str">
        <f t="shared" si="41"/>
        <v>-</v>
      </c>
    </row>
    <row r="817" spans="1:7" x14ac:dyDescent="0.25">
      <c r="A817" s="2" t="s">
        <v>1</v>
      </c>
      <c r="B817" s="9" t="s">
        <v>854</v>
      </c>
      <c r="C817" t="s">
        <v>1854</v>
      </c>
      <c r="D817" s="5" t="s">
        <v>2854</v>
      </c>
      <c r="E817" t="str">
        <f t="shared" si="39"/>
        <v>UPDATE [MAP].[T_TRANS_VENDOR] SET NEW_VENDOR_ID = 'V0831' WHERE LEGACY_VENDOR_ID = 'STEELSER' AND DATA_FOLDER_ID = 'sampl'</v>
      </c>
      <c r="F817" t="str">
        <f t="shared" si="40"/>
        <v>Changed</v>
      </c>
      <c r="G817" t="str">
        <f t="shared" si="41"/>
        <v>-</v>
      </c>
    </row>
    <row r="818" spans="1:7" x14ac:dyDescent="0.25">
      <c r="A818" s="2" t="s">
        <v>1</v>
      </c>
      <c r="B818" s="9" t="s">
        <v>855</v>
      </c>
      <c r="C818" t="s">
        <v>1855</v>
      </c>
      <c r="D818" s="5" t="s">
        <v>2855</v>
      </c>
      <c r="E818" t="str">
        <f t="shared" si="39"/>
        <v>UPDATE [MAP].[T_TRANS_VENDOR] SET NEW_VENDOR_ID = 'V0832' WHERE LEGACY_VENDOR_ID = 'STELLARM' AND DATA_FOLDER_ID = 'sampl'</v>
      </c>
      <c r="F818" t="str">
        <f t="shared" si="40"/>
        <v>Changed</v>
      </c>
      <c r="G818" t="str">
        <f t="shared" si="41"/>
        <v>-</v>
      </c>
    </row>
    <row r="819" spans="1:7" x14ac:dyDescent="0.25">
      <c r="A819" s="2" t="s">
        <v>1</v>
      </c>
      <c r="B819" s="9" t="s">
        <v>856</v>
      </c>
      <c r="C819" t="s">
        <v>1856</v>
      </c>
      <c r="D819" s="5" t="s">
        <v>2856</v>
      </c>
      <c r="E819" t="str">
        <f t="shared" si="39"/>
        <v>UPDATE [MAP].[T_TRANS_VENDOR] SET NEW_VENDOR_ID = 'V0833' WHERE LEGACY_VENDOR_ID = 'STENSTROM' AND DATA_FOLDER_ID = 'sampl'</v>
      </c>
      <c r="F819" t="str">
        <f t="shared" si="40"/>
        <v>Changed</v>
      </c>
      <c r="G819" t="str">
        <f t="shared" si="41"/>
        <v>-</v>
      </c>
    </row>
    <row r="820" spans="1:7" x14ac:dyDescent="0.25">
      <c r="A820" s="2" t="s">
        <v>1</v>
      </c>
      <c r="B820" s="9" t="s">
        <v>857</v>
      </c>
      <c r="C820" t="s">
        <v>1857</v>
      </c>
      <c r="D820" s="5" t="s">
        <v>2857</v>
      </c>
      <c r="E820" t="str">
        <f t="shared" si="39"/>
        <v>UPDATE [MAP].[T_TRANS_VENDOR] SET NEW_VENDOR_ID = 'V0834' WHERE LEGACY_VENDOR_ID = 'STERLING' AND DATA_FOLDER_ID = 'sampl'</v>
      </c>
      <c r="F820" t="str">
        <f t="shared" si="40"/>
        <v>Changed</v>
      </c>
      <c r="G820" t="str">
        <f t="shared" si="41"/>
        <v>-</v>
      </c>
    </row>
    <row r="821" spans="1:7" x14ac:dyDescent="0.25">
      <c r="A821" s="2" t="s">
        <v>1</v>
      </c>
      <c r="B821" s="9" t="s">
        <v>858</v>
      </c>
      <c r="C821" t="s">
        <v>1858</v>
      </c>
      <c r="D821" s="5" t="s">
        <v>2858</v>
      </c>
      <c r="E821" t="str">
        <f t="shared" si="39"/>
        <v>UPDATE [MAP].[T_TRANS_VENDOR] SET NEW_VENDOR_ID = 'V0835' WHERE LEGACY_VENDOR_ID = 'STEVSHAN' AND DATA_FOLDER_ID = 'sampl'</v>
      </c>
      <c r="F821" t="str">
        <f t="shared" si="40"/>
        <v>Changed</v>
      </c>
      <c r="G821" t="str">
        <f t="shared" si="41"/>
        <v>-</v>
      </c>
    </row>
    <row r="822" spans="1:7" x14ac:dyDescent="0.25">
      <c r="A822" s="2" t="s">
        <v>1</v>
      </c>
      <c r="B822" s="9" t="s">
        <v>859</v>
      </c>
      <c r="C822" t="s">
        <v>1859</v>
      </c>
      <c r="D822" s="5" t="s">
        <v>2859</v>
      </c>
      <c r="E822" t="str">
        <f t="shared" si="39"/>
        <v>UPDATE [MAP].[T_TRANS_VENDOR] SET NEW_VENDOR_ID = 'V0836' WHERE LEGACY_VENDOR_ID = 'STLUKESH' AND DATA_FOLDER_ID = 'sampl'</v>
      </c>
      <c r="F822" t="str">
        <f t="shared" si="40"/>
        <v>Changed</v>
      </c>
      <c r="G822" t="str">
        <f t="shared" si="41"/>
        <v>-</v>
      </c>
    </row>
    <row r="823" spans="1:7" x14ac:dyDescent="0.25">
      <c r="A823" s="2" t="s">
        <v>1</v>
      </c>
      <c r="B823" s="9" t="s">
        <v>860</v>
      </c>
      <c r="C823" t="s">
        <v>1860</v>
      </c>
      <c r="D823" s="5" t="s">
        <v>2860</v>
      </c>
      <c r="E823" t="str">
        <f t="shared" si="39"/>
        <v>UPDATE [MAP].[T_TRANS_VENDOR] SET NEW_VENDOR_ID = 'V0837' WHERE LEGACY_VENDOR_ID = 'STMARYSV' AND DATA_FOLDER_ID = 'sampl'</v>
      </c>
      <c r="F823" t="str">
        <f t="shared" si="40"/>
        <v>Changed</v>
      </c>
      <c r="G823" t="str">
        <f t="shared" si="41"/>
        <v>-</v>
      </c>
    </row>
    <row r="824" spans="1:7" x14ac:dyDescent="0.25">
      <c r="A824" s="2" t="s">
        <v>1</v>
      </c>
      <c r="B824" s="9" t="s">
        <v>861</v>
      </c>
      <c r="C824" t="s">
        <v>1861</v>
      </c>
      <c r="D824" s="5" t="s">
        <v>2861</v>
      </c>
      <c r="E824" t="str">
        <f t="shared" si="39"/>
        <v>UPDATE [MAP].[T_TRANS_VENDOR] SET NEW_VENDOR_ID = 'V0838' WHERE LEGACY_VENDOR_ID = 'STONHARD' AND DATA_FOLDER_ID = 'sampl'</v>
      </c>
      <c r="F824" t="str">
        <f t="shared" si="40"/>
        <v>Changed</v>
      </c>
      <c r="G824" t="str">
        <f t="shared" si="41"/>
        <v>-</v>
      </c>
    </row>
    <row r="825" spans="1:7" x14ac:dyDescent="0.25">
      <c r="A825" s="2" t="s">
        <v>1</v>
      </c>
      <c r="B825" s="9" t="s">
        <v>862</v>
      </c>
      <c r="C825" t="s">
        <v>1862</v>
      </c>
      <c r="D825" s="5" t="s">
        <v>2862</v>
      </c>
      <c r="E825" t="str">
        <f t="shared" si="39"/>
        <v>UPDATE [MAP].[T_TRANS_VENDOR] SET NEW_VENDOR_ID = 'V0839' WHERE LEGACY_VENDOR_ID = 'STRAUBMI' AND DATA_FOLDER_ID = 'sampl'</v>
      </c>
      <c r="F825" t="str">
        <f t="shared" si="40"/>
        <v>Changed</v>
      </c>
      <c r="G825" t="str">
        <f t="shared" si="41"/>
        <v>-</v>
      </c>
    </row>
    <row r="826" spans="1:7" x14ac:dyDescent="0.25">
      <c r="A826" s="2" t="s">
        <v>1</v>
      </c>
      <c r="B826" s="9" t="s">
        <v>863</v>
      </c>
      <c r="C826" t="s">
        <v>1863</v>
      </c>
      <c r="D826" s="5" t="s">
        <v>2863</v>
      </c>
      <c r="E826" t="str">
        <f t="shared" si="39"/>
        <v>UPDATE [MAP].[T_TRANS_VENDOR] SET NEW_VENDOR_ID = 'V0840' WHERE LEGACY_VENDOR_ID = 'STUARTDE' AND DATA_FOLDER_ID = 'sampl'</v>
      </c>
      <c r="F826" t="str">
        <f t="shared" si="40"/>
        <v>Changed</v>
      </c>
      <c r="G826" t="str">
        <f t="shared" si="41"/>
        <v>-</v>
      </c>
    </row>
    <row r="827" spans="1:7" x14ac:dyDescent="0.25">
      <c r="A827" s="2" t="s">
        <v>1</v>
      </c>
      <c r="B827" s="9" t="s">
        <v>864</v>
      </c>
      <c r="C827" t="s">
        <v>1864</v>
      </c>
      <c r="D827" s="5" t="s">
        <v>2864</v>
      </c>
      <c r="E827" t="str">
        <f t="shared" si="39"/>
        <v>UPDATE [MAP].[T_TRANS_VENDOR] SET NEW_VENDOR_ID = 'V0841' WHERE LEGACY_VENDOR_ID = 'STUCKEYS' AND DATA_FOLDER_ID = 'sampl'</v>
      </c>
      <c r="F827" t="str">
        <f t="shared" si="40"/>
        <v>Changed</v>
      </c>
      <c r="G827" t="str">
        <f t="shared" si="41"/>
        <v>-</v>
      </c>
    </row>
    <row r="828" spans="1:7" x14ac:dyDescent="0.25">
      <c r="A828" s="2" t="s">
        <v>1</v>
      </c>
      <c r="B828" s="9" t="s">
        <v>865</v>
      </c>
      <c r="C828" t="s">
        <v>1865</v>
      </c>
      <c r="D828" s="5" t="s">
        <v>2865</v>
      </c>
      <c r="E828" t="str">
        <f t="shared" si="39"/>
        <v>UPDATE [MAP].[T_TRANS_VENDOR] SET NEW_VENDOR_ID = 'V0842' WHERE LEGACY_VENDOR_ID = 'SUMMDRYW' AND DATA_FOLDER_ID = 'sampl'</v>
      </c>
      <c r="F828" t="str">
        <f t="shared" si="40"/>
        <v>Changed</v>
      </c>
      <c r="G828" t="str">
        <f t="shared" si="41"/>
        <v>-</v>
      </c>
    </row>
    <row r="829" spans="1:7" x14ac:dyDescent="0.25">
      <c r="A829" s="2" t="s">
        <v>1</v>
      </c>
      <c r="B829" s="9" t="s">
        <v>866</v>
      </c>
      <c r="C829" t="s">
        <v>1866</v>
      </c>
      <c r="D829" s="5" t="s">
        <v>2866</v>
      </c>
      <c r="E829" t="str">
        <f t="shared" si="39"/>
        <v>UPDATE [MAP].[T_TRANS_VENDOR] SET NEW_VENDOR_ID = 'V0843' WHERE LEGACY_VENDOR_ID = 'SUNBELTR' AND DATA_FOLDER_ID = 'sampl'</v>
      </c>
      <c r="F829" t="str">
        <f t="shared" si="40"/>
        <v>Changed</v>
      </c>
      <c r="G829" t="str">
        <f t="shared" si="41"/>
        <v>-</v>
      </c>
    </row>
    <row r="830" spans="1:7" x14ac:dyDescent="0.25">
      <c r="A830" s="2" t="s">
        <v>1</v>
      </c>
      <c r="B830" s="9" t="s">
        <v>867</v>
      </c>
      <c r="C830" t="s">
        <v>1867</v>
      </c>
      <c r="D830" s="5" t="s">
        <v>2867</v>
      </c>
      <c r="E830" t="str">
        <f t="shared" si="39"/>
        <v>UPDATE [MAP].[T_TRANS_VENDOR] SET NEW_VENDOR_ID = 'V0844' WHERE LEGACY_VENDOR_ID = 'SUNPRECA' AND DATA_FOLDER_ID = 'sampl'</v>
      </c>
      <c r="F830" t="str">
        <f t="shared" si="40"/>
        <v>Changed</v>
      </c>
      <c r="G830" t="str">
        <f t="shared" si="41"/>
        <v>-</v>
      </c>
    </row>
    <row r="831" spans="1:7" x14ac:dyDescent="0.25">
      <c r="A831" s="2" t="s">
        <v>1</v>
      </c>
      <c r="B831" s="9" t="s">
        <v>868</v>
      </c>
      <c r="C831" t="s">
        <v>1868</v>
      </c>
      <c r="D831" s="5" t="s">
        <v>2868</v>
      </c>
      <c r="E831" t="str">
        <f t="shared" si="39"/>
        <v>UPDATE [MAP].[T_TRANS_VENDOR] SET NEW_VENDOR_ID = 'V0845' WHERE LEGACY_VENDOR_ID = 'SURFACESPE' AND DATA_FOLDER_ID = 'sampl'</v>
      </c>
      <c r="F831" t="str">
        <f t="shared" si="40"/>
        <v>Changed</v>
      </c>
      <c r="G831" t="str">
        <f t="shared" si="41"/>
        <v>-</v>
      </c>
    </row>
    <row r="832" spans="1:7" x14ac:dyDescent="0.25">
      <c r="A832" s="2" t="s">
        <v>1</v>
      </c>
      <c r="B832" s="9" t="s">
        <v>869</v>
      </c>
      <c r="C832" t="s">
        <v>1869</v>
      </c>
      <c r="D832" s="5" t="s">
        <v>2869</v>
      </c>
      <c r="E832" t="str">
        <f t="shared" si="39"/>
        <v>UPDATE [MAP].[T_TRANS_VENDOR] SET NEW_VENDOR_ID = 'V0846' WHERE LEGACY_VENDOR_ID = 'SUSQLCBF' AND DATA_FOLDER_ID = 'sampl'</v>
      </c>
      <c r="F832" t="str">
        <f t="shared" si="40"/>
        <v>Changed</v>
      </c>
      <c r="G832" t="str">
        <f t="shared" si="41"/>
        <v>-</v>
      </c>
    </row>
    <row r="833" spans="1:7" x14ac:dyDescent="0.25">
      <c r="A833" s="2" t="s">
        <v>1</v>
      </c>
      <c r="B833" s="9" t="s">
        <v>870</v>
      </c>
      <c r="C833" t="s">
        <v>1870</v>
      </c>
      <c r="D833" s="5" t="s">
        <v>2870</v>
      </c>
      <c r="E833" t="str">
        <f t="shared" si="39"/>
        <v>UPDATE [MAP].[T_TRANS_VENDOR] SET NEW_VENDOR_ID = 'V0847' WHERE LEGACY_VENDOR_ID = 'SUSQUEHA' AND DATA_FOLDER_ID = 'sampl'</v>
      </c>
      <c r="F833" t="str">
        <f t="shared" si="40"/>
        <v>Changed</v>
      </c>
      <c r="G833" t="str">
        <f t="shared" si="41"/>
        <v>-</v>
      </c>
    </row>
    <row r="834" spans="1:7" x14ac:dyDescent="0.25">
      <c r="A834" s="2" t="s">
        <v>1</v>
      </c>
      <c r="B834" s="9" t="s">
        <v>871</v>
      </c>
      <c r="C834" t="s">
        <v>1871</v>
      </c>
      <c r="D834" s="5" t="s">
        <v>2871</v>
      </c>
      <c r="E834" t="str">
        <f t="shared" si="39"/>
        <v>UPDATE [MAP].[T_TRANS_VENDOR] SET NEW_VENDOR_ID = 'V0848' WHERE LEGACY_VENDOR_ID = 'SUSQUEHANN' AND DATA_FOLDER_ID = 'sampl'</v>
      </c>
      <c r="F834" t="str">
        <f t="shared" si="40"/>
        <v>Changed</v>
      </c>
      <c r="G834" t="str">
        <f t="shared" si="41"/>
        <v>-</v>
      </c>
    </row>
    <row r="835" spans="1:7" x14ac:dyDescent="0.25">
      <c r="A835" s="2" t="s">
        <v>1</v>
      </c>
      <c r="B835" s="9" t="s">
        <v>872</v>
      </c>
      <c r="C835" t="s">
        <v>1872</v>
      </c>
      <c r="D835" s="5" t="s">
        <v>2872</v>
      </c>
      <c r="E835" t="str">
        <f t="shared" si="39"/>
        <v>UPDATE [MAP].[T_TRANS_VENDOR] SET NEW_VENDOR_ID = 'V0849' WHERE LEGACY_VENDOR_ID = 'SWIFTFEN' AND DATA_FOLDER_ID = 'sampl'</v>
      </c>
      <c r="F835" t="str">
        <f t="shared" si="40"/>
        <v>Changed</v>
      </c>
      <c r="G835" t="str">
        <f t="shared" si="41"/>
        <v>-</v>
      </c>
    </row>
    <row r="836" spans="1:7" x14ac:dyDescent="0.25">
      <c r="A836" s="2" t="s">
        <v>1</v>
      </c>
      <c r="B836" s="9" t="s">
        <v>873</v>
      </c>
      <c r="C836" t="s">
        <v>1873</v>
      </c>
      <c r="D836" s="5" t="s">
        <v>2873</v>
      </c>
      <c r="E836" t="str">
        <f t="shared" si="39"/>
        <v>UPDATE [MAP].[T_TRANS_VENDOR] SET NEW_VENDOR_ID = 'V0850' WHERE LEGACY_VENDOR_ID = 'TALALLMA' AND DATA_FOLDER_ID = 'sampl'</v>
      </c>
      <c r="F836" t="str">
        <f t="shared" si="40"/>
        <v>Changed</v>
      </c>
      <c r="G836" t="str">
        <f t="shared" si="41"/>
        <v>-</v>
      </c>
    </row>
    <row r="837" spans="1:7" x14ac:dyDescent="0.25">
      <c r="A837" s="2" t="s">
        <v>1</v>
      </c>
      <c r="B837" s="9" t="s">
        <v>874</v>
      </c>
      <c r="C837" t="s">
        <v>1874</v>
      </c>
      <c r="D837" s="5" t="s">
        <v>2874</v>
      </c>
      <c r="E837" t="str">
        <f t="shared" si="39"/>
        <v>UPDATE [MAP].[T_TRANS_VENDOR] SET NEW_VENDOR_ID = 'V0851' WHERE LEGACY_VENDOR_ID = 'TAXCOLLE' AND DATA_FOLDER_ID = 'sampl'</v>
      </c>
      <c r="F837" t="str">
        <f t="shared" si="40"/>
        <v>Changed</v>
      </c>
      <c r="G837" t="str">
        <f t="shared" si="41"/>
        <v>-</v>
      </c>
    </row>
    <row r="838" spans="1:7" x14ac:dyDescent="0.25">
      <c r="A838" s="2" t="s">
        <v>1</v>
      </c>
      <c r="B838" s="9" t="s">
        <v>875</v>
      </c>
      <c r="C838" t="s">
        <v>1875</v>
      </c>
      <c r="D838" s="5" t="s">
        <v>2875</v>
      </c>
      <c r="E838" t="str">
        <f t="shared" si="39"/>
        <v>UPDATE [MAP].[T_TRANS_VENDOR] SET NEW_VENDOR_ID = 'V0852' WHERE LEGACY_VENDOR_ID = 'TAYLORBO' AND DATA_FOLDER_ID = 'sampl'</v>
      </c>
      <c r="F838" t="str">
        <f t="shared" si="40"/>
        <v>Changed</v>
      </c>
      <c r="G838" t="str">
        <f t="shared" si="41"/>
        <v>-</v>
      </c>
    </row>
    <row r="839" spans="1:7" x14ac:dyDescent="0.25">
      <c r="A839" s="2" t="s">
        <v>1</v>
      </c>
      <c r="B839" s="9" t="s">
        <v>876</v>
      </c>
      <c r="C839" t="s">
        <v>1876</v>
      </c>
      <c r="D839" s="5" t="s">
        <v>2876</v>
      </c>
      <c r="E839" t="str">
        <f t="shared" si="39"/>
        <v>UPDATE [MAP].[T_TRANS_VENDOR] SET NEW_VENDOR_ID = 'V0853' WHERE LEGACY_VENDOR_ID = 'TAYLOROI' AND DATA_FOLDER_ID = 'sampl'</v>
      </c>
      <c r="F839" t="str">
        <f t="shared" si="40"/>
        <v>Changed</v>
      </c>
      <c r="G839" t="str">
        <f t="shared" si="41"/>
        <v>-</v>
      </c>
    </row>
    <row r="840" spans="1:7" x14ac:dyDescent="0.25">
      <c r="A840" s="2" t="s">
        <v>1</v>
      </c>
      <c r="B840" s="9" t="s">
        <v>877</v>
      </c>
      <c r="C840" t="s">
        <v>1877</v>
      </c>
      <c r="D840" s="5" t="s">
        <v>2877</v>
      </c>
      <c r="E840" t="str">
        <f t="shared" si="39"/>
        <v>UPDATE [MAP].[T_TRANS_VENDOR] SET NEW_VENDOR_ID = 'V0854' WHERE LEGACY_VENDOR_ID = 'TCKOESTR' AND DATA_FOLDER_ID = 'sampl'</v>
      </c>
      <c r="F840" t="str">
        <f t="shared" si="40"/>
        <v>Changed</v>
      </c>
      <c r="G840" t="str">
        <f t="shared" si="41"/>
        <v>-</v>
      </c>
    </row>
    <row r="841" spans="1:7" x14ac:dyDescent="0.25">
      <c r="A841" s="2" t="s">
        <v>1</v>
      </c>
      <c r="B841" s="9" t="s">
        <v>878</v>
      </c>
      <c r="C841" t="s">
        <v>1878</v>
      </c>
      <c r="D841" s="5" t="s">
        <v>2878</v>
      </c>
      <c r="E841" t="str">
        <f t="shared" si="39"/>
        <v>UPDATE [MAP].[T_TRANS_VENDOR] SET NEW_VENDOR_ID = 'V0855' WHERE LEGACY_VENDOR_ID = 'TEAMEREC' AND DATA_FOLDER_ID = 'sampl'</v>
      </c>
      <c r="F841" t="str">
        <f t="shared" si="40"/>
        <v>Changed</v>
      </c>
      <c r="G841" t="str">
        <f t="shared" si="41"/>
        <v>-</v>
      </c>
    </row>
    <row r="842" spans="1:7" x14ac:dyDescent="0.25">
      <c r="A842" s="2" t="s">
        <v>1</v>
      </c>
      <c r="B842" s="9" t="s">
        <v>879</v>
      </c>
      <c r="C842" t="s">
        <v>1879</v>
      </c>
      <c r="D842" s="5" t="s">
        <v>2879</v>
      </c>
      <c r="E842" t="str">
        <f t="shared" si="39"/>
        <v>UPDATE [MAP].[T_TRANS_VENDOR] SET NEW_VENDOR_ID = 'V0856' WHERE LEGACY_VENDOR_ID = 'TEAMSUPP' AND DATA_FOLDER_ID = 'sampl'</v>
      </c>
      <c r="F842" t="str">
        <f t="shared" si="40"/>
        <v>Changed</v>
      </c>
      <c r="G842" t="str">
        <f t="shared" si="41"/>
        <v>-</v>
      </c>
    </row>
    <row r="843" spans="1:7" x14ac:dyDescent="0.25">
      <c r="A843" s="2" t="s">
        <v>1</v>
      </c>
      <c r="B843" s="9" t="s">
        <v>880</v>
      </c>
      <c r="C843" t="s">
        <v>1880</v>
      </c>
      <c r="D843" s="5" t="s">
        <v>2880</v>
      </c>
      <c r="E843" t="str">
        <f t="shared" si="39"/>
        <v>UPDATE [MAP].[T_TRANS_VENDOR] SET NEW_VENDOR_ID = 'V0857' WHERE LEGACY_VENDOR_ID = 'TECHPLEA' AND DATA_FOLDER_ID = 'sampl'</v>
      </c>
      <c r="F843" t="str">
        <f t="shared" si="40"/>
        <v>Changed</v>
      </c>
      <c r="G843" t="str">
        <f t="shared" si="41"/>
        <v>-</v>
      </c>
    </row>
    <row r="844" spans="1:7" x14ac:dyDescent="0.25">
      <c r="A844" s="2" t="s">
        <v>1</v>
      </c>
      <c r="B844" s="9" t="s">
        <v>881</v>
      </c>
      <c r="C844" t="s">
        <v>1881</v>
      </c>
      <c r="D844" s="5" t="s">
        <v>2881</v>
      </c>
      <c r="E844" t="str">
        <f t="shared" si="39"/>
        <v>UPDATE [MAP].[T_TRANS_VENDOR] SET NEW_VENDOR_ID = 'V0858' WHERE LEGACY_VENDOR_ID = 'TEMPEXCA' AND DATA_FOLDER_ID = 'sampl'</v>
      </c>
      <c r="F844" t="str">
        <f t="shared" si="40"/>
        <v>Changed</v>
      </c>
      <c r="G844" t="str">
        <f t="shared" si="41"/>
        <v>-</v>
      </c>
    </row>
    <row r="845" spans="1:7" x14ac:dyDescent="0.25">
      <c r="A845" s="2" t="s">
        <v>1</v>
      </c>
      <c r="B845" s="9" t="s">
        <v>882</v>
      </c>
      <c r="C845" t="s">
        <v>1882</v>
      </c>
      <c r="D845" s="5" t="s">
        <v>2882</v>
      </c>
      <c r="E845" t="str">
        <f t="shared" si="39"/>
        <v>UPDATE [MAP].[T_TRANS_VENDOR] SET NEW_VENDOR_ID = 'V0859' WHERE LEGACY_VENDOR_ID = 'TERRACON' AND DATA_FOLDER_ID = 'sampl'</v>
      </c>
      <c r="F845" t="str">
        <f t="shared" si="40"/>
        <v>Changed</v>
      </c>
      <c r="G845" t="str">
        <f t="shared" si="41"/>
        <v>-</v>
      </c>
    </row>
    <row r="846" spans="1:7" x14ac:dyDescent="0.25">
      <c r="A846" s="2" t="s">
        <v>1</v>
      </c>
      <c r="B846" s="9" t="s">
        <v>883</v>
      </c>
      <c r="C846" t="s">
        <v>1883</v>
      </c>
      <c r="D846" s="5" t="s">
        <v>2883</v>
      </c>
      <c r="E846" t="str">
        <f t="shared" si="39"/>
        <v>UPDATE [MAP].[T_TRANS_VENDOR] SET NEW_VENDOR_ID = 'V0860' WHERE LEGACY_VENDOR_ID = 'TERRAUNI' AND DATA_FOLDER_ID = 'sampl'</v>
      </c>
      <c r="F846" t="str">
        <f t="shared" si="40"/>
        <v>Changed</v>
      </c>
      <c r="G846" t="str">
        <f t="shared" si="41"/>
        <v>-</v>
      </c>
    </row>
    <row r="847" spans="1:7" x14ac:dyDescent="0.25">
      <c r="A847" s="2" t="s">
        <v>1</v>
      </c>
      <c r="B847" s="9" t="s">
        <v>884</v>
      </c>
      <c r="C847" t="s">
        <v>1884</v>
      </c>
      <c r="D847" s="5" t="s">
        <v>2884</v>
      </c>
      <c r="E847" t="str">
        <f t="shared" ref="E847:E910" si="42">"UPDATE "&amp;$E$3&amp;" SET NEW_VENDOR_ID = '"&amp;D847&amp;"' WHERE LEGACY_VENDOR_ID = '"&amp;B847&amp;"' AND DATA_FOLDER_ID = '"&amp;$A847&amp;"'"</f>
        <v>UPDATE [MAP].[T_TRANS_VENDOR] SET NEW_VENDOR_ID = 'V0861' WHERE LEGACY_VENDOR_ID = 'TERREAL' AND DATA_FOLDER_ID = 'sampl'</v>
      </c>
      <c r="F847" t="str">
        <f t="shared" ref="F847:F910" si="43">IF(B847&lt;&gt;D847,"Changed","-")</f>
        <v>Changed</v>
      </c>
      <c r="G847" t="str">
        <f t="shared" ref="G847:G910" si="44">IF(B847="","Hide","-")</f>
        <v>-</v>
      </c>
    </row>
    <row r="848" spans="1:7" x14ac:dyDescent="0.25">
      <c r="A848" s="2" t="s">
        <v>1</v>
      </c>
      <c r="B848" s="9" t="s">
        <v>885</v>
      </c>
      <c r="C848" t="s">
        <v>1885</v>
      </c>
      <c r="D848" s="5" t="s">
        <v>2885</v>
      </c>
      <c r="E848" t="str">
        <f t="shared" si="42"/>
        <v>UPDATE [MAP].[T_TRANS_VENDOR] SET NEW_VENDOR_ID = 'V0862' WHERE LEGACY_VENDOR_ID = 'TESPALL' AND DATA_FOLDER_ID = 'sampl'</v>
      </c>
      <c r="F848" t="str">
        <f t="shared" si="43"/>
        <v>Changed</v>
      </c>
      <c r="G848" t="str">
        <f t="shared" si="44"/>
        <v>-</v>
      </c>
    </row>
    <row r="849" spans="1:7" x14ac:dyDescent="0.25">
      <c r="A849" s="2" t="s">
        <v>1</v>
      </c>
      <c r="B849" s="9" t="s">
        <v>886</v>
      </c>
      <c r="C849" t="s">
        <v>1886</v>
      </c>
      <c r="D849" s="5" t="s">
        <v>2886</v>
      </c>
      <c r="E849" t="str">
        <f t="shared" si="42"/>
        <v>UPDATE [MAP].[T_TRANS_VENDOR] SET NEW_VENDOR_ID = 'V0863' WHERE LEGACY_VENDOR_ID = 'TEXTURA' AND DATA_FOLDER_ID = 'sampl'</v>
      </c>
      <c r="F849" t="str">
        <f t="shared" si="43"/>
        <v>Changed</v>
      </c>
      <c r="G849" t="str">
        <f t="shared" si="44"/>
        <v>-</v>
      </c>
    </row>
    <row r="850" spans="1:7" x14ac:dyDescent="0.25">
      <c r="A850" s="2" t="s">
        <v>1</v>
      </c>
      <c r="B850" s="9" t="s">
        <v>887</v>
      </c>
      <c r="C850" t="s">
        <v>1887</v>
      </c>
      <c r="D850" s="5" t="s">
        <v>2887</v>
      </c>
      <c r="E850" t="str">
        <f t="shared" si="42"/>
        <v>UPDATE [MAP].[T_TRANS_VENDOR] SET NEW_VENDOR_ID = 'V0864' WHERE LEGACY_VENDOR_ID = 'THACKRAY' AND DATA_FOLDER_ID = 'sampl'</v>
      </c>
      <c r="F850" t="str">
        <f t="shared" si="43"/>
        <v>Changed</v>
      </c>
      <c r="G850" t="str">
        <f t="shared" si="44"/>
        <v>-</v>
      </c>
    </row>
    <row r="851" spans="1:7" x14ac:dyDescent="0.25">
      <c r="A851" s="2" t="s">
        <v>1</v>
      </c>
      <c r="B851" s="9" t="s">
        <v>888</v>
      </c>
      <c r="C851" t="s">
        <v>1888</v>
      </c>
      <c r="D851" s="5" t="s">
        <v>2888</v>
      </c>
      <c r="E851" t="str">
        <f t="shared" si="42"/>
        <v>UPDATE [MAP].[T_TRANS_VENDOR] SET NEW_VENDOR_ID = 'V0865' WHERE LEGACY_VENDOR_ID = 'THEAGREE' AND DATA_FOLDER_ID = 'sampl'</v>
      </c>
      <c r="F851" t="str">
        <f t="shared" si="43"/>
        <v>Changed</v>
      </c>
      <c r="G851" t="str">
        <f t="shared" si="44"/>
        <v>-</v>
      </c>
    </row>
    <row r="852" spans="1:7" x14ac:dyDescent="0.25">
      <c r="A852" s="2" t="s">
        <v>1</v>
      </c>
      <c r="B852" s="9" t="s">
        <v>889</v>
      </c>
      <c r="C852" t="s">
        <v>1889</v>
      </c>
      <c r="D852" s="5" t="s">
        <v>2889</v>
      </c>
      <c r="E852" t="str">
        <f t="shared" si="42"/>
        <v>UPDATE [MAP].[T_TRANS_VENDOR] SET NEW_VENDOR_ID = 'V0867' WHERE LEGACY_VENDOR_ID = 'THEFIREP' AND DATA_FOLDER_ID = 'sampl'</v>
      </c>
      <c r="F852" t="str">
        <f t="shared" si="43"/>
        <v>Changed</v>
      </c>
      <c r="G852" t="str">
        <f t="shared" si="44"/>
        <v>-</v>
      </c>
    </row>
    <row r="853" spans="1:7" x14ac:dyDescent="0.25">
      <c r="A853" s="2" t="s">
        <v>1</v>
      </c>
      <c r="B853" s="9" t="s">
        <v>890</v>
      </c>
      <c r="C853" t="s">
        <v>1890</v>
      </c>
      <c r="D853" s="5" t="s">
        <v>2890</v>
      </c>
      <c r="E853" t="str">
        <f t="shared" si="42"/>
        <v>UPDATE [MAP].[T_TRANS_VENDOR] SET NEW_VENDOR_ID = 'V0868' WHERE LEGACY_VENDOR_ID = 'THEGRANDBA' AND DATA_FOLDER_ID = 'sampl'</v>
      </c>
      <c r="F853" t="str">
        <f t="shared" si="43"/>
        <v>Changed</v>
      </c>
      <c r="G853" t="str">
        <f t="shared" si="44"/>
        <v>-</v>
      </c>
    </row>
    <row r="854" spans="1:7" x14ac:dyDescent="0.25">
      <c r="A854" s="2" t="s">
        <v>1</v>
      </c>
      <c r="B854" s="9" t="s">
        <v>891</v>
      </c>
      <c r="C854" t="s">
        <v>1891</v>
      </c>
      <c r="D854" s="5" t="s">
        <v>2891</v>
      </c>
      <c r="E854" t="str">
        <f t="shared" si="42"/>
        <v>UPDATE [MAP].[T_TRANS_VENDOR] SET NEW_VENDOR_ID = 'V0869' WHERE LEGACY_VENDOR_ID = 'THERMAL0' AND DATA_FOLDER_ID = 'sampl'</v>
      </c>
      <c r="F854" t="str">
        <f t="shared" si="43"/>
        <v>Changed</v>
      </c>
      <c r="G854" t="str">
        <f t="shared" si="44"/>
        <v>-</v>
      </c>
    </row>
    <row r="855" spans="1:7" x14ac:dyDescent="0.25">
      <c r="A855" s="2" t="s">
        <v>1</v>
      </c>
      <c r="B855" s="9" t="s">
        <v>892</v>
      </c>
      <c r="C855" t="s">
        <v>1892</v>
      </c>
      <c r="D855" s="5" t="s">
        <v>2892</v>
      </c>
      <c r="E855" t="str">
        <f t="shared" si="42"/>
        <v>UPDATE [MAP].[T_TRANS_VENDOR] SET NEW_VENDOR_ID = 'V0870' WHERE LEGACY_VENDOR_ID = 'THERMALF' AND DATA_FOLDER_ID = 'sampl'</v>
      </c>
      <c r="F855" t="str">
        <f t="shared" si="43"/>
        <v>Changed</v>
      </c>
      <c r="G855" t="str">
        <f t="shared" si="44"/>
        <v>-</v>
      </c>
    </row>
    <row r="856" spans="1:7" x14ac:dyDescent="0.25">
      <c r="A856" s="2" t="s">
        <v>1</v>
      </c>
      <c r="B856" s="9" t="s">
        <v>893</v>
      </c>
      <c r="C856" t="s">
        <v>1893</v>
      </c>
      <c r="D856" s="5" t="s">
        <v>2893</v>
      </c>
      <c r="E856" t="str">
        <f t="shared" si="42"/>
        <v>UPDATE [MAP].[T_TRANS_VENDOR] SET NEW_VENDOR_ID = 'V0871' WHERE LEGACY_VENDOR_ID = 'THERMALL' AND DATA_FOLDER_ID = 'sampl'</v>
      </c>
      <c r="F856" t="str">
        <f t="shared" si="43"/>
        <v>Changed</v>
      </c>
      <c r="G856" t="str">
        <f t="shared" si="44"/>
        <v>-</v>
      </c>
    </row>
    <row r="857" spans="1:7" x14ac:dyDescent="0.25">
      <c r="A857" s="2" t="s">
        <v>1</v>
      </c>
      <c r="B857" s="9" t="s">
        <v>894</v>
      </c>
      <c r="C857" t="s">
        <v>1894</v>
      </c>
      <c r="D857" s="5" t="s">
        <v>2894</v>
      </c>
      <c r="E857" t="str">
        <f t="shared" si="42"/>
        <v>UPDATE [MAP].[T_TRANS_VENDOR] SET NEW_VENDOR_ID = 'V0872' WHERE LEGACY_VENDOR_ID = 'THEURGEN' AND DATA_FOLDER_ID = 'sampl'</v>
      </c>
      <c r="F857" t="str">
        <f t="shared" si="43"/>
        <v>Changed</v>
      </c>
      <c r="G857" t="str">
        <f t="shared" si="44"/>
        <v>-</v>
      </c>
    </row>
    <row r="858" spans="1:7" x14ac:dyDescent="0.25">
      <c r="A858" s="2" t="s">
        <v>1</v>
      </c>
      <c r="B858" s="9" t="s">
        <v>895</v>
      </c>
      <c r="C858" t="s">
        <v>1895</v>
      </c>
      <c r="D858" s="5" t="s">
        <v>2895</v>
      </c>
      <c r="E858" t="str">
        <f t="shared" si="42"/>
        <v>UPDATE [MAP].[T_TRANS_VENDOR] SET NEW_VENDOR_ID = 'V0873' WHERE LEGACY_VENDOR_ID = 'THIRDDIM' AND DATA_FOLDER_ID = 'sampl'</v>
      </c>
      <c r="F858" t="str">
        <f t="shared" si="43"/>
        <v>Changed</v>
      </c>
      <c r="G858" t="str">
        <f t="shared" si="44"/>
        <v>-</v>
      </c>
    </row>
    <row r="859" spans="1:7" x14ac:dyDescent="0.25">
      <c r="A859" s="2" t="s">
        <v>1</v>
      </c>
      <c r="B859" s="9" t="s">
        <v>896</v>
      </c>
      <c r="C859" t="s">
        <v>1896</v>
      </c>
      <c r="D859" s="5" t="s">
        <v>2896</v>
      </c>
      <c r="E859" t="str">
        <f t="shared" si="42"/>
        <v>UPDATE [MAP].[T_TRANS_VENDOR] SET NEW_VENDOR_ID = 'V0874' WHERE LEGACY_VENDOR_ID = 'THOMASBE' AND DATA_FOLDER_ID = 'sampl'</v>
      </c>
      <c r="F859" t="str">
        <f t="shared" si="43"/>
        <v>Changed</v>
      </c>
      <c r="G859" t="str">
        <f t="shared" si="44"/>
        <v>-</v>
      </c>
    </row>
    <row r="860" spans="1:7" x14ac:dyDescent="0.25">
      <c r="A860" s="2" t="s">
        <v>1</v>
      </c>
      <c r="B860" s="9" t="s">
        <v>897</v>
      </c>
      <c r="C860" t="s">
        <v>1897</v>
      </c>
      <c r="D860" s="5" t="s">
        <v>2897</v>
      </c>
      <c r="E860" t="str">
        <f t="shared" si="42"/>
        <v>UPDATE [MAP].[T_TRANS_VENDOR] SET NEW_VENDOR_ID = 'V0875' WHERE LEGACY_VENDOR_ID = 'THRASHER' AND DATA_FOLDER_ID = 'sampl'</v>
      </c>
      <c r="F860" t="str">
        <f t="shared" si="43"/>
        <v>Changed</v>
      </c>
      <c r="G860" t="str">
        <f t="shared" si="44"/>
        <v>-</v>
      </c>
    </row>
    <row r="861" spans="1:7" x14ac:dyDescent="0.25">
      <c r="A861" s="2" t="s">
        <v>1</v>
      </c>
      <c r="B861" s="9" t="s">
        <v>898</v>
      </c>
      <c r="C861" t="s">
        <v>1898</v>
      </c>
      <c r="D861" s="5" t="s">
        <v>2898</v>
      </c>
      <c r="E861" t="str">
        <f t="shared" si="42"/>
        <v>UPDATE [MAP].[T_TRANS_VENDOR] SET NEW_VENDOR_ID = 'V0876' WHERE LEGACY_VENDOR_ID = 'THREERIN' AND DATA_FOLDER_ID = 'sampl'</v>
      </c>
      <c r="F861" t="str">
        <f t="shared" si="43"/>
        <v>Changed</v>
      </c>
      <c r="G861" t="str">
        <f t="shared" si="44"/>
        <v>-</v>
      </c>
    </row>
    <row r="862" spans="1:7" x14ac:dyDescent="0.25">
      <c r="A862" s="2" t="s">
        <v>1</v>
      </c>
      <c r="B862" s="9" t="s">
        <v>899</v>
      </c>
      <c r="C862" t="s">
        <v>1899</v>
      </c>
      <c r="D862" s="5" t="s">
        <v>2899</v>
      </c>
      <c r="E862" t="str">
        <f t="shared" si="42"/>
        <v>UPDATE [MAP].[T_TRANS_VENDOR] SET NEW_VENDOR_ID = 'V0877' WHERE LEGACY_VENDOR_ID = 'THRIVE' AND DATA_FOLDER_ID = 'sampl'</v>
      </c>
      <c r="F862" t="str">
        <f t="shared" si="43"/>
        <v>Changed</v>
      </c>
      <c r="G862" t="str">
        <f t="shared" si="44"/>
        <v>-</v>
      </c>
    </row>
    <row r="863" spans="1:7" x14ac:dyDescent="0.25">
      <c r="A863" s="2" t="s">
        <v>1</v>
      </c>
      <c r="B863" s="9" t="s">
        <v>900</v>
      </c>
      <c r="C863" t="s">
        <v>1900</v>
      </c>
      <c r="D863" s="5" t="s">
        <v>2900</v>
      </c>
      <c r="E863" t="str">
        <f t="shared" si="42"/>
        <v>UPDATE [MAP].[T_TRANS_VENDOR] SET NEW_VENDOR_ID = 'V0878' WHERE LEGACY_VENDOR_ID = 'THROOPBORO' AND DATA_FOLDER_ID = 'sampl'</v>
      </c>
      <c r="F863" t="str">
        <f t="shared" si="43"/>
        <v>Changed</v>
      </c>
      <c r="G863" t="str">
        <f t="shared" si="44"/>
        <v>-</v>
      </c>
    </row>
    <row r="864" spans="1:7" x14ac:dyDescent="0.25">
      <c r="A864" s="2" t="s">
        <v>1</v>
      </c>
      <c r="B864" s="9" t="s">
        <v>901</v>
      </c>
      <c r="C864" t="s">
        <v>1901</v>
      </c>
      <c r="D864" s="5" t="s">
        <v>2901</v>
      </c>
      <c r="E864" t="str">
        <f t="shared" si="42"/>
        <v>UPDATE [MAP].[T_TRANS_VENDOR] SET NEW_VENDOR_ID = 'V0880' WHERE LEGACY_VENDOR_ID = 'TILDENTWP' AND DATA_FOLDER_ID = 'sampl'</v>
      </c>
      <c r="F864" t="str">
        <f t="shared" si="43"/>
        <v>Changed</v>
      </c>
      <c r="G864" t="str">
        <f t="shared" si="44"/>
        <v>-</v>
      </c>
    </row>
    <row r="865" spans="1:7" x14ac:dyDescent="0.25">
      <c r="A865" s="2" t="s">
        <v>1</v>
      </c>
      <c r="B865" s="9" t="s">
        <v>902</v>
      </c>
      <c r="C865" t="s">
        <v>1902</v>
      </c>
      <c r="D865" s="5" t="s">
        <v>2902</v>
      </c>
      <c r="E865" t="str">
        <f t="shared" si="42"/>
        <v>UPDATE [MAP].[T_TRANS_VENDOR] SET NEW_VENDOR_ID = 'V0881' WHERE LEGACY_VENDOR_ID = 'TITANFOU' AND DATA_FOLDER_ID = 'sampl'</v>
      </c>
      <c r="F865" t="str">
        <f t="shared" si="43"/>
        <v>Changed</v>
      </c>
      <c r="G865" t="str">
        <f t="shared" si="44"/>
        <v>-</v>
      </c>
    </row>
    <row r="866" spans="1:7" x14ac:dyDescent="0.25">
      <c r="A866" s="2" t="s">
        <v>1</v>
      </c>
      <c r="B866" s="9" t="s">
        <v>903</v>
      </c>
      <c r="C866" t="s">
        <v>1903</v>
      </c>
      <c r="D866" s="5" t="s">
        <v>2903</v>
      </c>
      <c r="E866" t="str">
        <f t="shared" si="42"/>
        <v>UPDATE [MAP].[T_TRANS_VENDOR] SET NEW_VENDOR_ID = 'V0882' WHERE LEGACY_VENDOR_ID = 'TITANTRE' AND DATA_FOLDER_ID = 'sampl'</v>
      </c>
      <c r="F866" t="str">
        <f t="shared" si="43"/>
        <v>Changed</v>
      </c>
      <c r="G866" t="str">
        <f t="shared" si="44"/>
        <v>-</v>
      </c>
    </row>
    <row r="867" spans="1:7" x14ac:dyDescent="0.25">
      <c r="A867" s="2" t="s">
        <v>1</v>
      </c>
      <c r="B867" s="9" t="s">
        <v>904</v>
      </c>
      <c r="C867" t="s">
        <v>1904</v>
      </c>
      <c r="D867" s="5" t="s">
        <v>2904</v>
      </c>
      <c r="E867" t="str">
        <f t="shared" si="42"/>
        <v>UPDATE [MAP].[T_TRANS_VENDOR] SET NEW_VENDOR_ID = 'V0883' WHERE LEGACY_VENDOR_ID = 'TITCHIRO' AND DATA_FOLDER_ID = 'sampl'</v>
      </c>
      <c r="F867" t="str">
        <f t="shared" si="43"/>
        <v>Changed</v>
      </c>
      <c r="G867" t="str">
        <f t="shared" si="44"/>
        <v>-</v>
      </c>
    </row>
    <row r="868" spans="1:7" x14ac:dyDescent="0.25">
      <c r="A868" s="2" t="s">
        <v>1</v>
      </c>
      <c r="B868" s="9" t="s">
        <v>905</v>
      </c>
      <c r="C868" t="s">
        <v>1905</v>
      </c>
      <c r="D868" s="5" t="s">
        <v>2905</v>
      </c>
      <c r="E868" t="str">
        <f t="shared" si="42"/>
        <v>UPDATE [MAP].[T_TRANS_VENDOR] SET NEW_VENDOR_ID = 'V0884' WHERE LEGACY_VENDOR_ID = 'TJCANNON' AND DATA_FOLDER_ID = 'sampl'</v>
      </c>
      <c r="F868" t="str">
        <f t="shared" si="43"/>
        <v>Changed</v>
      </c>
      <c r="G868" t="str">
        <f t="shared" si="44"/>
        <v>-</v>
      </c>
    </row>
    <row r="869" spans="1:7" x14ac:dyDescent="0.25">
      <c r="A869" s="2" t="s">
        <v>1</v>
      </c>
      <c r="B869" s="9" t="s">
        <v>906</v>
      </c>
      <c r="C869" t="s">
        <v>1906</v>
      </c>
      <c r="D869" s="5" t="s">
        <v>2906</v>
      </c>
      <c r="E869" t="str">
        <f t="shared" si="42"/>
        <v>UPDATE [MAP].[T_TRANS_VENDOR] SET NEW_VENDOR_ID = 'V0885' WHERE LEGACY_VENDOR_ID = 'TJEUQUIP' AND DATA_FOLDER_ID = 'sampl'</v>
      </c>
      <c r="F869" t="str">
        <f t="shared" si="43"/>
        <v>Changed</v>
      </c>
      <c r="G869" t="str">
        <f t="shared" si="44"/>
        <v>-</v>
      </c>
    </row>
    <row r="870" spans="1:7" x14ac:dyDescent="0.25">
      <c r="A870" s="2" t="s">
        <v>1</v>
      </c>
      <c r="B870" s="9" t="s">
        <v>907</v>
      </c>
      <c r="C870" t="s">
        <v>1907</v>
      </c>
      <c r="D870" s="5" t="s">
        <v>2907</v>
      </c>
      <c r="E870" t="str">
        <f t="shared" si="42"/>
        <v>UPDATE [MAP].[T_TRANS_VENDOR] SET NEW_VENDOR_ID = 'V0886' WHERE LEGACY_VENDOR_ID = 'TLHCONSULT' AND DATA_FOLDER_ID = 'sampl'</v>
      </c>
      <c r="F870" t="str">
        <f t="shared" si="43"/>
        <v>Changed</v>
      </c>
      <c r="G870" t="str">
        <f t="shared" si="44"/>
        <v>-</v>
      </c>
    </row>
    <row r="871" spans="1:7" x14ac:dyDescent="0.25">
      <c r="A871" s="2" t="s">
        <v>1</v>
      </c>
      <c r="B871" s="9" t="s">
        <v>908</v>
      </c>
      <c r="C871" t="s">
        <v>1908</v>
      </c>
      <c r="D871" s="5" t="s">
        <v>2908</v>
      </c>
      <c r="E871" t="str">
        <f t="shared" si="42"/>
        <v>UPDATE [MAP].[T_TRANS_VENDOR] SET NEW_VENDOR_ID = 'V0887' WHERE LEGACY_VENDOR_ID = 'TMMOREY' AND DATA_FOLDER_ID = 'sampl'</v>
      </c>
      <c r="F871" t="str">
        <f t="shared" si="43"/>
        <v>Changed</v>
      </c>
      <c r="G871" t="str">
        <f t="shared" si="44"/>
        <v>-</v>
      </c>
    </row>
    <row r="872" spans="1:7" x14ac:dyDescent="0.25">
      <c r="A872" s="2" t="s">
        <v>1</v>
      </c>
      <c r="B872" s="9" t="s">
        <v>909</v>
      </c>
      <c r="C872" t="s">
        <v>1909</v>
      </c>
      <c r="D872" s="5" t="s">
        <v>2909</v>
      </c>
      <c r="E872" t="str">
        <f t="shared" si="42"/>
        <v>UPDATE [MAP].[T_TRANS_VENDOR] SET NEW_VENDOR_ID = 'V0888' WHERE LEGACY_VENDOR_ID = 'TMOBILE' AND DATA_FOLDER_ID = 'sampl'</v>
      </c>
      <c r="F872" t="str">
        <f t="shared" si="43"/>
        <v>Changed</v>
      </c>
      <c r="G872" t="str">
        <f t="shared" si="44"/>
        <v>-</v>
      </c>
    </row>
    <row r="873" spans="1:7" x14ac:dyDescent="0.25">
      <c r="A873" s="2" t="s">
        <v>1</v>
      </c>
      <c r="B873" s="9" t="s">
        <v>910</v>
      </c>
      <c r="C873" t="s">
        <v>1910</v>
      </c>
      <c r="D873" s="5" t="s">
        <v>2910</v>
      </c>
      <c r="E873" t="str">
        <f t="shared" si="42"/>
        <v>UPDATE [MAP].[T_TRANS_VENDOR] SET NEW_VENDOR_ID = 'V0889' WHERE LEGACY_VENDOR_ID = 'TNEMEC' AND DATA_FOLDER_ID = 'sampl'</v>
      </c>
      <c r="F873" t="str">
        <f t="shared" si="43"/>
        <v>Changed</v>
      </c>
      <c r="G873" t="str">
        <f t="shared" si="44"/>
        <v>-</v>
      </c>
    </row>
    <row r="874" spans="1:7" x14ac:dyDescent="0.25">
      <c r="A874" s="2" t="s">
        <v>1</v>
      </c>
      <c r="B874" s="9" t="s">
        <v>911</v>
      </c>
      <c r="C874" t="s">
        <v>1911</v>
      </c>
      <c r="D874" s="5" t="s">
        <v>2911</v>
      </c>
      <c r="E874" t="str">
        <f t="shared" si="42"/>
        <v>UPDATE [MAP].[T_TRANS_VENDOR] SET NEW_VENDOR_ID = 'V0890' WHERE LEGACY_VENDOR_ID = 'TOMHESSE' AND DATA_FOLDER_ID = 'sampl'</v>
      </c>
      <c r="F874" t="str">
        <f t="shared" si="43"/>
        <v>Changed</v>
      </c>
      <c r="G874" t="str">
        <f t="shared" si="44"/>
        <v>-</v>
      </c>
    </row>
    <row r="875" spans="1:7" x14ac:dyDescent="0.25">
      <c r="A875" s="2" t="s">
        <v>1</v>
      </c>
      <c r="B875" s="9" t="s">
        <v>912</v>
      </c>
      <c r="C875" t="s">
        <v>1912</v>
      </c>
      <c r="D875" s="5" t="s">
        <v>2912</v>
      </c>
      <c r="E875" t="str">
        <f t="shared" si="42"/>
        <v>UPDATE [MAP].[T_TRANS_VENDOR] SET NEW_VENDOR_ID = 'V0891' WHERE LEGACY_VENDOR_ID = 'TOMJAWOR' AND DATA_FOLDER_ID = 'sampl'</v>
      </c>
      <c r="F875" t="str">
        <f t="shared" si="43"/>
        <v>Changed</v>
      </c>
      <c r="G875" t="str">
        <f t="shared" si="44"/>
        <v>-</v>
      </c>
    </row>
    <row r="876" spans="1:7" x14ac:dyDescent="0.25">
      <c r="A876" s="2" t="s">
        <v>1</v>
      </c>
      <c r="B876" s="9" t="s">
        <v>913</v>
      </c>
      <c r="C876" t="s">
        <v>1913</v>
      </c>
      <c r="D876" s="5" t="s">
        <v>2913</v>
      </c>
      <c r="E876" t="str">
        <f t="shared" si="42"/>
        <v>UPDATE [MAP].[T_TRANS_VENDOR] SET NEW_VENDOR_ID = 'V0892' WHERE LEGACY_VENDOR_ID = 'TOMSWIFE' AND DATA_FOLDER_ID = 'sampl'</v>
      </c>
      <c r="F876" t="str">
        <f t="shared" si="43"/>
        <v>Changed</v>
      </c>
      <c r="G876" t="str">
        <f t="shared" si="44"/>
        <v>-</v>
      </c>
    </row>
    <row r="877" spans="1:7" x14ac:dyDescent="0.25">
      <c r="A877" s="2" t="s">
        <v>1</v>
      </c>
      <c r="B877" s="9" t="s">
        <v>914</v>
      </c>
      <c r="C877" t="s">
        <v>1914</v>
      </c>
      <c r="D877" s="5" t="s">
        <v>2914</v>
      </c>
      <c r="E877" t="str">
        <f t="shared" si="42"/>
        <v>UPDATE [MAP].[T_TRANS_VENDOR] SET NEW_VENDOR_ID = 'V0893' WHERE LEGACY_VENDOR_ID = 'TOOLWATC' AND DATA_FOLDER_ID = 'sampl'</v>
      </c>
      <c r="F877" t="str">
        <f t="shared" si="43"/>
        <v>Changed</v>
      </c>
      <c r="G877" t="str">
        <f t="shared" si="44"/>
        <v>-</v>
      </c>
    </row>
    <row r="878" spans="1:7" x14ac:dyDescent="0.25">
      <c r="A878" s="2" t="s">
        <v>1</v>
      </c>
      <c r="B878" s="9" t="s">
        <v>915</v>
      </c>
      <c r="C878" t="s">
        <v>1915</v>
      </c>
      <c r="D878" s="5" t="s">
        <v>2915</v>
      </c>
      <c r="E878" t="str">
        <f t="shared" si="42"/>
        <v>UPDATE [MAP].[T_TRANS_VENDOR] SET NEW_VENDOR_ID = 'V0894' WHERE LEGACY_VENDOR_ID = 'TOPCONSO' AND DATA_FOLDER_ID = 'sampl'</v>
      </c>
      <c r="F878" t="str">
        <f t="shared" si="43"/>
        <v>Changed</v>
      </c>
      <c r="G878" t="str">
        <f t="shared" si="44"/>
        <v>-</v>
      </c>
    </row>
    <row r="879" spans="1:7" x14ac:dyDescent="0.25">
      <c r="A879" s="2" t="s">
        <v>1</v>
      </c>
      <c r="B879" s="9" t="s">
        <v>916</v>
      </c>
      <c r="C879" t="s">
        <v>1916</v>
      </c>
      <c r="D879" s="5" t="s">
        <v>2916</v>
      </c>
      <c r="E879" t="str">
        <f t="shared" si="42"/>
        <v>UPDATE [MAP].[T_TRANS_VENDOR] SET NEW_VENDOR_ID = 'V0895' WHERE LEGACY_VENDOR_ID = 'TORBIKSA' AND DATA_FOLDER_ID = 'sampl'</v>
      </c>
      <c r="F879" t="str">
        <f t="shared" si="43"/>
        <v>Changed</v>
      </c>
      <c r="G879" t="str">
        <f t="shared" si="44"/>
        <v>-</v>
      </c>
    </row>
    <row r="880" spans="1:7" x14ac:dyDescent="0.25">
      <c r="A880" s="2" t="s">
        <v>1</v>
      </c>
      <c r="B880" s="9" t="s">
        <v>917</v>
      </c>
      <c r="C880" t="s">
        <v>1917</v>
      </c>
      <c r="D880" s="5" t="s">
        <v>2917</v>
      </c>
      <c r="E880" t="str">
        <f t="shared" si="42"/>
        <v>UPDATE [MAP].[T_TRANS_VENDOR] SET NEW_VENDOR_ID = 'V0896' WHERE LEGACY_VENDOR_ID = 'TOWERHEA' AND DATA_FOLDER_ID = 'sampl'</v>
      </c>
      <c r="F880" t="str">
        <f t="shared" si="43"/>
        <v>Changed</v>
      </c>
      <c r="G880" t="str">
        <f t="shared" si="44"/>
        <v>-</v>
      </c>
    </row>
    <row r="881" spans="1:7" x14ac:dyDescent="0.25">
      <c r="A881" s="2" t="s">
        <v>1</v>
      </c>
      <c r="B881" s="9" t="s">
        <v>918</v>
      </c>
      <c r="C881" t="s">
        <v>1918</v>
      </c>
      <c r="D881" s="5" t="s">
        <v>2918</v>
      </c>
      <c r="E881" t="str">
        <f t="shared" si="42"/>
        <v>UPDATE [MAP].[T_TRANS_VENDOR] SET NEW_VENDOR_ID = 'V0897' WHERE LEGACY_VENDOR_ID = 'TOWNDERRY' AND DATA_FOLDER_ID = 'sampl'</v>
      </c>
      <c r="F881" t="str">
        <f t="shared" si="43"/>
        <v>Changed</v>
      </c>
      <c r="G881" t="str">
        <f t="shared" si="44"/>
        <v>-</v>
      </c>
    </row>
    <row r="882" spans="1:7" x14ac:dyDescent="0.25">
      <c r="A882" s="2" t="s">
        <v>1</v>
      </c>
      <c r="B882" s="9" t="s">
        <v>919</v>
      </c>
      <c r="C882" t="s">
        <v>1919</v>
      </c>
      <c r="D882" s="5" t="s">
        <v>2919</v>
      </c>
      <c r="E882" t="str">
        <f t="shared" si="42"/>
        <v>UPDATE [MAP].[T_TRANS_VENDOR] SET NEW_VENDOR_ID = 'V0898' WHERE LEGACY_VENDOR_ID = 'TOWNPLAINS' AND DATA_FOLDER_ID = 'sampl'</v>
      </c>
      <c r="F882" t="str">
        <f t="shared" si="43"/>
        <v>Changed</v>
      </c>
      <c r="G882" t="str">
        <f t="shared" si="44"/>
        <v>-</v>
      </c>
    </row>
    <row r="883" spans="1:7" x14ac:dyDescent="0.25">
      <c r="A883" s="2" t="s">
        <v>1</v>
      </c>
      <c r="B883" s="9" t="s">
        <v>920</v>
      </c>
      <c r="C883" t="s">
        <v>1920</v>
      </c>
      <c r="D883" s="5" t="s">
        <v>2920</v>
      </c>
      <c r="E883" t="str">
        <f t="shared" si="42"/>
        <v>UPDATE [MAP].[T_TRANS_VENDOR] SET NEW_VENDOR_ID = 'V0899' WHERE LEGACY_VENDOR_ID = 'TOWNSILVER' AND DATA_FOLDER_ID = 'sampl'</v>
      </c>
      <c r="F883" t="str">
        <f t="shared" si="43"/>
        <v>Changed</v>
      </c>
      <c r="G883" t="str">
        <f t="shared" si="44"/>
        <v>-</v>
      </c>
    </row>
    <row r="884" spans="1:7" x14ac:dyDescent="0.25">
      <c r="A884" s="2" t="s">
        <v>1</v>
      </c>
      <c r="B884" s="9" t="s">
        <v>921</v>
      </c>
      <c r="C884" t="s">
        <v>1921</v>
      </c>
      <c r="D884" s="5" t="s">
        <v>2921</v>
      </c>
      <c r="E884" t="str">
        <f t="shared" si="42"/>
        <v>UPDATE [MAP].[T_TRANS_VENDOR] SET NEW_VENDOR_ID = 'V0900' WHERE LEGACY_VENDOR_ID = 'TOWNSPRING' AND DATA_FOLDER_ID = 'sampl'</v>
      </c>
      <c r="F884" t="str">
        <f t="shared" si="43"/>
        <v>Changed</v>
      </c>
      <c r="G884" t="str">
        <f t="shared" si="44"/>
        <v>-</v>
      </c>
    </row>
    <row r="885" spans="1:7" x14ac:dyDescent="0.25">
      <c r="A885" s="2" t="s">
        <v>1</v>
      </c>
      <c r="B885" s="9" t="s">
        <v>922</v>
      </c>
      <c r="C885" t="s">
        <v>1922</v>
      </c>
      <c r="D885" s="5" t="s">
        <v>2922</v>
      </c>
      <c r="E885" t="str">
        <f t="shared" si="42"/>
        <v>UPDATE [MAP].[T_TRANS_VENDOR] SET NEW_VENDOR_ID = 'V0901' WHERE LEGACY_VENDOR_ID = 'TOWNWARM' AND DATA_FOLDER_ID = 'sampl'</v>
      </c>
      <c r="F885" t="str">
        <f t="shared" si="43"/>
        <v>Changed</v>
      </c>
      <c r="G885" t="str">
        <f t="shared" si="44"/>
        <v>-</v>
      </c>
    </row>
    <row r="886" spans="1:7" x14ac:dyDescent="0.25">
      <c r="A886" s="2" t="s">
        <v>1</v>
      </c>
      <c r="B886" s="9" t="s">
        <v>923</v>
      </c>
      <c r="C886" t="s">
        <v>1923</v>
      </c>
      <c r="D886" s="5" t="s">
        <v>2923</v>
      </c>
      <c r="E886" t="str">
        <f t="shared" si="42"/>
        <v>UPDATE [MAP].[T_TRANS_VENDOR] SET NEW_VENDOR_ID = 'V0902' WHERE LEGACY_VENDOR_ID = 'TOWNWHIT' AND DATA_FOLDER_ID = 'sampl'</v>
      </c>
      <c r="F886" t="str">
        <f t="shared" si="43"/>
        <v>Changed</v>
      </c>
      <c r="G886" t="str">
        <f t="shared" si="44"/>
        <v>-</v>
      </c>
    </row>
    <row r="887" spans="1:7" x14ac:dyDescent="0.25">
      <c r="A887" s="2" t="s">
        <v>1</v>
      </c>
      <c r="B887" s="9" t="s">
        <v>924</v>
      </c>
      <c r="C887" t="s">
        <v>1924</v>
      </c>
      <c r="D887" s="5" t="s">
        <v>2924</v>
      </c>
      <c r="E887" t="str">
        <f t="shared" si="42"/>
        <v>UPDATE [MAP].[T_TRANS_VENDOR] SET NEW_VENDOR_ID = 'V0903' WHERE LEGACY_VENDOR_ID = 'TOWNYORK' AND DATA_FOLDER_ID = 'sampl'</v>
      </c>
      <c r="F887" t="str">
        <f t="shared" si="43"/>
        <v>Changed</v>
      </c>
      <c r="G887" t="str">
        <f t="shared" si="44"/>
        <v>-</v>
      </c>
    </row>
    <row r="888" spans="1:7" x14ac:dyDescent="0.25">
      <c r="A888" s="2" t="s">
        <v>1</v>
      </c>
      <c r="B888" s="9" t="s">
        <v>925</v>
      </c>
      <c r="C888" t="s">
        <v>1925</v>
      </c>
      <c r="D888" s="5" t="s">
        <v>2925</v>
      </c>
      <c r="E888" t="str">
        <f t="shared" si="42"/>
        <v>UPDATE [MAP].[T_TRANS_VENDOR] SET NEW_VENDOR_ID = 'V0904' WHERE LEGACY_VENDOR_ID = 'TRACORP' AND DATA_FOLDER_ID = 'sampl'</v>
      </c>
      <c r="F888" t="str">
        <f t="shared" si="43"/>
        <v>Changed</v>
      </c>
      <c r="G888" t="str">
        <f t="shared" si="44"/>
        <v>-</v>
      </c>
    </row>
    <row r="889" spans="1:7" x14ac:dyDescent="0.25">
      <c r="A889" s="2" t="s">
        <v>1</v>
      </c>
      <c r="B889" s="9" t="s">
        <v>926</v>
      </c>
      <c r="C889" t="s">
        <v>1926</v>
      </c>
      <c r="D889" s="5" t="s">
        <v>2926</v>
      </c>
      <c r="E889" t="str">
        <f t="shared" si="42"/>
        <v>UPDATE [MAP].[T_TRANS_VENDOR] SET NEW_VENDOR_ID = 'V0905' WHERE LEGACY_VENDOR_ID = 'TRACYCON' AND DATA_FOLDER_ID = 'sampl'</v>
      </c>
      <c r="F889" t="str">
        <f t="shared" si="43"/>
        <v>Changed</v>
      </c>
      <c r="G889" t="str">
        <f t="shared" si="44"/>
        <v>-</v>
      </c>
    </row>
    <row r="890" spans="1:7" x14ac:dyDescent="0.25">
      <c r="A890" s="2" t="s">
        <v>1</v>
      </c>
      <c r="B890" s="9" t="s">
        <v>927</v>
      </c>
      <c r="C890" t="s">
        <v>1927</v>
      </c>
      <c r="D890" s="5" t="s">
        <v>2927</v>
      </c>
      <c r="E890" t="str">
        <f t="shared" si="42"/>
        <v>UPDATE [MAP].[T_TRANS_VENDOR] SET NEW_VENDOR_ID = 'V0906' WHERE LEGACY_VENDOR_ID = 'TRAFFCOM' AND DATA_FOLDER_ID = 'sampl'</v>
      </c>
      <c r="F890" t="str">
        <f t="shared" si="43"/>
        <v>Changed</v>
      </c>
      <c r="G890" t="str">
        <f t="shared" si="44"/>
        <v>-</v>
      </c>
    </row>
    <row r="891" spans="1:7" x14ac:dyDescent="0.25">
      <c r="A891" s="2" t="s">
        <v>1</v>
      </c>
      <c r="B891" s="9" t="s">
        <v>928</v>
      </c>
      <c r="C891" t="s">
        <v>1928</v>
      </c>
      <c r="D891" s="5" t="s">
        <v>2928</v>
      </c>
      <c r="E891" t="str">
        <f t="shared" si="42"/>
        <v>UPDATE [MAP].[T_TRANS_VENDOR] SET NEW_VENDOR_ID = 'V0907' WHERE LEGACY_VENDOR_ID = 'TRAILERCOR' AND DATA_FOLDER_ID = 'sampl'</v>
      </c>
      <c r="F891" t="str">
        <f t="shared" si="43"/>
        <v>Changed</v>
      </c>
      <c r="G891" t="str">
        <f t="shared" si="44"/>
        <v>-</v>
      </c>
    </row>
    <row r="892" spans="1:7" x14ac:dyDescent="0.25">
      <c r="A892" s="2" t="s">
        <v>1</v>
      </c>
      <c r="B892" s="9" t="s">
        <v>929</v>
      </c>
      <c r="C892" t="s">
        <v>1929</v>
      </c>
      <c r="D892" s="5" t="s">
        <v>2929</v>
      </c>
      <c r="E892" t="str">
        <f t="shared" si="42"/>
        <v>UPDATE [MAP].[T_TRANS_VENDOR] SET NEW_VENDOR_ID = 'V0908' WHERE LEGACY_VENDOR_ID = 'TRAINING' AND DATA_FOLDER_ID = 'sampl'</v>
      </c>
      <c r="F892" t="str">
        <f t="shared" si="43"/>
        <v>Changed</v>
      </c>
      <c r="G892" t="str">
        <f t="shared" si="44"/>
        <v>-</v>
      </c>
    </row>
    <row r="893" spans="1:7" x14ac:dyDescent="0.25">
      <c r="A893" s="2" t="s">
        <v>1</v>
      </c>
      <c r="B893" s="9" t="s">
        <v>930</v>
      </c>
      <c r="C893" t="s">
        <v>1930</v>
      </c>
      <c r="D893" s="5" t="s">
        <v>2930</v>
      </c>
      <c r="E893" t="str">
        <f t="shared" si="42"/>
        <v>UPDATE [MAP].[T_TRANS_VENDOR] SET NEW_VENDOR_ID = 'V0909' WHERE LEGACY_VENDOR_ID = 'TRAISUPE' AND DATA_FOLDER_ID = 'sampl'</v>
      </c>
      <c r="F893" t="str">
        <f t="shared" si="43"/>
        <v>Changed</v>
      </c>
      <c r="G893" t="str">
        <f t="shared" si="44"/>
        <v>-</v>
      </c>
    </row>
    <row r="894" spans="1:7" x14ac:dyDescent="0.25">
      <c r="A894" s="2" t="s">
        <v>1</v>
      </c>
      <c r="B894" s="9" t="s">
        <v>931</v>
      </c>
      <c r="C894" t="s">
        <v>1931</v>
      </c>
      <c r="D894" s="5" t="s">
        <v>2931</v>
      </c>
      <c r="E894" t="str">
        <f t="shared" si="42"/>
        <v>UPDATE [MAP].[T_TRANS_VENDOR] SET NEW_VENDOR_ID = 'V0910' WHERE LEGACY_VENDOR_ID = 'TRANSPORT' AND DATA_FOLDER_ID = 'sampl'</v>
      </c>
      <c r="F894" t="str">
        <f t="shared" si="43"/>
        <v>Changed</v>
      </c>
      <c r="G894" t="str">
        <f t="shared" si="44"/>
        <v>-</v>
      </c>
    </row>
    <row r="895" spans="1:7" x14ac:dyDescent="0.25">
      <c r="A895" s="2" t="s">
        <v>1</v>
      </c>
      <c r="B895" s="9" t="s">
        <v>932</v>
      </c>
      <c r="C895" t="s">
        <v>1932</v>
      </c>
      <c r="D895" s="5" t="s">
        <v>2932</v>
      </c>
      <c r="E895" t="str">
        <f t="shared" si="42"/>
        <v>UPDATE [MAP].[T_TRANS_VENDOR] SET NEW_VENDOR_ID = 'V0911' WHERE LEGACY_VENDOR_ID = 'TRAUNER' AND DATA_FOLDER_ID = 'sampl'</v>
      </c>
      <c r="F895" t="str">
        <f t="shared" si="43"/>
        <v>Changed</v>
      </c>
      <c r="G895" t="str">
        <f t="shared" si="44"/>
        <v>-</v>
      </c>
    </row>
    <row r="896" spans="1:7" x14ac:dyDescent="0.25">
      <c r="A896" s="2" t="s">
        <v>1</v>
      </c>
      <c r="B896" s="9" t="s">
        <v>933</v>
      </c>
      <c r="C896" t="s">
        <v>1933</v>
      </c>
      <c r="D896" s="5" t="s">
        <v>2933</v>
      </c>
      <c r="E896" t="str">
        <f t="shared" si="42"/>
        <v>UPDATE [MAP].[T_TRANS_VENDOR] SET NEW_VENDOR_ID = 'V0912' WHERE LEGACY_VENDOR_ID = 'TRAVELERS' AND DATA_FOLDER_ID = 'sampl'</v>
      </c>
      <c r="F896" t="str">
        <f t="shared" si="43"/>
        <v>Changed</v>
      </c>
      <c r="G896" t="str">
        <f t="shared" si="44"/>
        <v>-</v>
      </c>
    </row>
    <row r="897" spans="1:7" x14ac:dyDescent="0.25">
      <c r="A897" s="2" t="s">
        <v>1</v>
      </c>
      <c r="B897" s="9" t="s">
        <v>934</v>
      </c>
      <c r="C897" t="s">
        <v>1934</v>
      </c>
      <c r="D897" s="5" t="s">
        <v>2934</v>
      </c>
      <c r="E897" t="str">
        <f t="shared" si="42"/>
        <v>UPDATE [MAP].[T_TRANS_VENDOR] SET NEW_VENDOR_ID = 'V0913' WHERE LEGACY_VENDOR_ID = 'TRENCHDRAI' AND DATA_FOLDER_ID = 'sampl'</v>
      </c>
      <c r="F897" t="str">
        <f t="shared" si="43"/>
        <v>Changed</v>
      </c>
      <c r="G897" t="str">
        <f t="shared" si="44"/>
        <v>-</v>
      </c>
    </row>
    <row r="898" spans="1:7" x14ac:dyDescent="0.25">
      <c r="A898" s="2" t="s">
        <v>1</v>
      </c>
      <c r="B898" s="9" t="s">
        <v>935</v>
      </c>
      <c r="C898" t="s">
        <v>1935</v>
      </c>
      <c r="D898" s="5" t="s">
        <v>2935</v>
      </c>
      <c r="E898" t="str">
        <f t="shared" si="42"/>
        <v>UPDATE [MAP].[T_TRANS_VENDOR] SET NEW_VENDOR_ID = 'V0914' WHERE LEGACY_VENDOR_ID = 'TRENCHTE' AND DATA_FOLDER_ID = 'sampl'</v>
      </c>
      <c r="F898" t="str">
        <f t="shared" si="43"/>
        <v>Changed</v>
      </c>
      <c r="G898" t="str">
        <f t="shared" si="44"/>
        <v>-</v>
      </c>
    </row>
    <row r="899" spans="1:7" x14ac:dyDescent="0.25">
      <c r="A899" s="2" t="s">
        <v>1</v>
      </c>
      <c r="B899" s="9" t="s">
        <v>936</v>
      </c>
      <c r="C899" t="s">
        <v>1936</v>
      </c>
      <c r="D899" s="5" t="s">
        <v>2936</v>
      </c>
      <c r="E899" t="str">
        <f t="shared" si="42"/>
        <v>UPDATE [MAP].[T_TRANS_VENDOR] SET NEW_VENDOR_ID = 'V0915' WHERE LEGACY_VENDOR_ID = 'TRENCHTEC' AND DATA_FOLDER_ID = 'sampl'</v>
      </c>
      <c r="F899" t="str">
        <f t="shared" si="43"/>
        <v>Changed</v>
      </c>
      <c r="G899" t="str">
        <f t="shared" si="44"/>
        <v>-</v>
      </c>
    </row>
    <row r="900" spans="1:7" x14ac:dyDescent="0.25">
      <c r="A900" s="2" t="s">
        <v>1</v>
      </c>
      <c r="B900" s="9" t="s">
        <v>937</v>
      </c>
      <c r="C900" t="s">
        <v>1937</v>
      </c>
      <c r="D900" s="5" t="s">
        <v>2937</v>
      </c>
      <c r="E900" t="str">
        <f t="shared" si="42"/>
        <v>UPDATE [MAP].[T_TRANS_VENDOR] SET NEW_VENDOR_ID = 'V0916' WHERE LEGACY_VENDOR_ID = 'TREVDANB' AND DATA_FOLDER_ID = 'sampl'</v>
      </c>
      <c r="F900" t="str">
        <f t="shared" si="43"/>
        <v>Changed</v>
      </c>
      <c r="G900" t="str">
        <f t="shared" si="44"/>
        <v>-</v>
      </c>
    </row>
    <row r="901" spans="1:7" x14ac:dyDescent="0.25">
      <c r="A901" s="2" t="s">
        <v>1</v>
      </c>
      <c r="B901" s="9" t="s">
        <v>938</v>
      </c>
      <c r="C901" t="s">
        <v>1938</v>
      </c>
      <c r="D901" s="5" t="s">
        <v>2938</v>
      </c>
      <c r="E901" t="str">
        <f t="shared" si="42"/>
        <v>UPDATE [MAP].[T_TRANS_VENDOR] SET NEW_VENDOR_ID = 'V0917' WHERE LEGACY_VENDOR_ID = 'TRIADENG' AND DATA_FOLDER_ID = 'sampl'</v>
      </c>
      <c r="F901" t="str">
        <f t="shared" si="43"/>
        <v>Changed</v>
      </c>
      <c r="G901" t="str">
        <f t="shared" si="44"/>
        <v>-</v>
      </c>
    </row>
    <row r="902" spans="1:7" x14ac:dyDescent="0.25">
      <c r="A902" s="2" t="s">
        <v>1</v>
      </c>
      <c r="B902" s="9" t="s">
        <v>939</v>
      </c>
      <c r="C902" t="s">
        <v>1939</v>
      </c>
      <c r="D902" s="5" t="s">
        <v>2939</v>
      </c>
      <c r="E902" t="str">
        <f t="shared" si="42"/>
        <v>UPDATE [MAP].[T_TRANS_VENDOR] SET NEW_VENDOR_ID = 'V0918' WHERE LEGACY_VENDOR_ID = 'TRIAFAST' AND DATA_FOLDER_ID = 'sampl'</v>
      </c>
      <c r="F902" t="str">
        <f t="shared" si="43"/>
        <v>Changed</v>
      </c>
      <c r="G902" t="str">
        <f t="shared" si="44"/>
        <v>-</v>
      </c>
    </row>
    <row r="903" spans="1:7" x14ac:dyDescent="0.25">
      <c r="A903" s="2" t="s">
        <v>1</v>
      </c>
      <c r="B903" s="9" t="s">
        <v>940</v>
      </c>
      <c r="C903" t="s">
        <v>1940</v>
      </c>
      <c r="D903" s="5" t="s">
        <v>2940</v>
      </c>
      <c r="E903" t="str">
        <f t="shared" si="42"/>
        <v>UPDATE [MAP].[T_TRANS_VENDOR] SET NEW_VENDOR_ID = 'V0920' WHERE LEGACY_VENDOR_ID = 'TRIBORO' AND DATA_FOLDER_ID = 'sampl'</v>
      </c>
      <c r="F903" t="str">
        <f t="shared" si="43"/>
        <v>Changed</v>
      </c>
      <c r="G903" t="str">
        <f t="shared" si="44"/>
        <v>-</v>
      </c>
    </row>
    <row r="904" spans="1:7" x14ac:dyDescent="0.25">
      <c r="A904" s="2" t="s">
        <v>1</v>
      </c>
      <c r="B904" s="9" t="s">
        <v>941</v>
      </c>
      <c r="C904" t="s">
        <v>1941</v>
      </c>
      <c r="D904" s="5" t="s">
        <v>2941</v>
      </c>
      <c r="E904" t="str">
        <f t="shared" si="42"/>
        <v>UPDATE [MAP].[T_TRANS_VENDOR] SET NEW_VENDOR_ID = 'V0921' WHERE LEGACY_VENDOR_ID = 'TRICOUNT' AND DATA_FOLDER_ID = 'sampl'</v>
      </c>
      <c r="F904" t="str">
        <f t="shared" si="43"/>
        <v>Changed</v>
      </c>
      <c r="G904" t="str">
        <f t="shared" si="44"/>
        <v>-</v>
      </c>
    </row>
    <row r="905" spans="1:7" x14ac:dyDescent="0.25">
      <c r="A905" s="2" t="s">
        <v>1</v>
      </c>
      <c r="B905" s="9" t="s">
        <v>942</v>
      </c>
      <c r="C905" t="s">
        <v>1942</v>
      </c>
      <c r="D905" s="5" t="s">
        <v>2942</v>
      </c>
      <c r="E905" t="str">
        <f t="shared" si="42"/>
        <v>UPDATE [MAP].[T_TRANS_VENDOR] SET NEW_VENDOR_ID = 'V0922' WHERE LEGACY_VENDOR_ID = 'TRICOUNTY' AND DATA_FOLDER_ID = 'sampl'</v>
      </c>
      <c r="F905" t="str">
        <f t="shared" si="43"/>
        <v>Changed</v>
      </c>
      <c r="G905" t="str">
        <f t="shared" si="44"/>
        <v>-</v>
      </c>
    </row>
    <row r="906" spans="1:7" x14ac:dyDescent="0.25">
      <c r="A906" s="2" t="s">
        <v>1</v>
      </c>
      <c r="B906" s="9" t="s">
        <v>943</v>
      </c>
      <c r="C906" t="s">
        <v>1943</v>
      </c>
      <c r="D906" s="5" t="s">
        <v>2943</v>
      </c>
      <c r="E906" t="str">
        <f t="shared" si="42"/>
        <v>UPDATE [MAP].[T_TRANS_VENDOR] SET NEW_VENDOR_ID = 'V0923' WHERE LEGACY_VENDOR_ID = 'TRINCOM' AND DATA_FOLDER_ID = 'sampl'</v>
      </c>
      <c r="F906" t="str">
        <f t="shared" si="43"/>
        <v>Changed</v>
      </c>
      <c r="G906" t="str">
        <f t="shared" si="44"/>
        <v>-</v>
      </c>
    </row>
    <row r="907" spans="1:7" x14ac:dyDescent="0.25">
      <c r="A907" s="2" t="s">
        <v>1</v>
      </c>
      <c r="B907" s="9" t="s">
        <v>944</v>
      </c>
      <c r="C907" t="s">
        <v>1944</v>
      </c>
      <c r="D907" s="5" t="s">
        <v>2944</v>
      </c>
      <c r="E907" t="str">
        <f t="shared" si="42"/>
        <v>UPDATE [MAP].[T_TRANS_VENDOR] SET NEW_VENDOR_ID = 'V0925' WHERE LEGACY_VENDOR_ID = 'TRISTATE' AND DATA_FOLDER_ID = 'sampl'</v>
      </c>
      <c r="F907" t="str">
        <f t="shared" si="43"/>
        <v>Changed</v>
      </c>
      <c r="G907" t="str">
        <f t="shared" si="44"/>
        <v>-</v>
      </c>
    </row>
    <row r="908" spans="1:7" x14ac:dyDescent="0.25">
      <c r="A908" s="2" t="s">
        <v>1</v>
      </c>
      <c r="B908" s="9" t="s">
        <v>945</v>
      </c>
      <c r="C908" t="s">
        <v>1945</v>
      </c>
      <c r="D908" s="5" t="s">
        <v>2945</v>
      </c>
      <c r="E908" t="str">
        <f t="shared" si="42"/>
        <v>UPDATE [MAP].[T_TRANS_VENDOR] SET NEW_VENDOR_ID = 'V0926' WHERE LEGACY_VENDOR_ID = 'TRISTATEST' AND DATA_FOLDER_ID = 'sampl'</v>
      </c>
      <c r="F908" t="str">
        <f t="shared" si="43"/>
        <v>Changed</v>
      </c>
      <c r="G908" t="str">
        <f t="shared" si="44"/>
        <v>-</v>
      </c>
    </row>
    <row r="909" spans="1:7" x14ac:dyDescent="0.25">
      <c r="A909" s="2" t="s">
        <v>1</v>
      </c>
      <c r="B909" s="9" t="s">
        <v>946</v>
      </c>
      <c r="C909" t="s">
        <v>1946</v>
      </c>
      <c r="D909" s="5" t="s">
        <v>2946</v>
      </c>
      <c r="E909" t="str">
        <f t="shared" si="42"/>
        <v>UPDATE [MAP].[T_TRANS_VENDOR] SET NEW_VENDOR_ID = 'V0927' WHERE LEGACY_VENDOR_ID = 'TROIANIE' AND DATA_FOLDER_ID = 'sampl'</v>
      </c>
      <c r="F909" t="str">
        <f t="shared" si="43"/>
        <v>Changed</v>
      </c>
      <c r="G909" t="str">
        <f t="shared" si="44"/>
        <v>-</v>
      </c>
    </row>
    <row r="910" spans="1:7" x14ac:dyDescent="0.25">
      <c r="A910" s="2" t="s">
        <v>1</v>
      </c>
      <c r="B910" s="9" t="s">
        <v>947</v>
      </c>
      <c r="C910" t="s">
        <v>1947</v>
      </c>
      <c r="D910" s="5" t="s">
        <v>2947</v>
      </c>
      <c r="E910" t="str">
        <f t="shared" si="42"/>
        <v>UPDATE [MAP].[T_TRANS_VENDOR] SET NEW_VENDOR_ID = 'V0928' WHERE LEGACY_VENDOR_ID = 'TROYMECH' AND DATA_FOLDER_ID = 'sampl'</v>
      </c>
      <c r="F910" t="str">
        <f t="shared" si="43"/>
        <v>Changed</v>
      </c>
      <c r="G910" t="str">
        <f t="shared" si="44"/>
        <v>-</v>
      </c>
    </row>
    <row r="911" spans="1:7" x14ac:dyDescent="0.25">
      <c r="A911" s="2" t="s">
        <v>1</v>
      </c>
      <c r="B911" s="9" t="s">
        <v>948</v>
      </c>
      <c r="C911" t="s">
        <v>1948</v>
      </c>
      <c r="D911" s="5" t="s">
        <v>2948</v>
      </c>
      <c r="E911" t="str">
        <f t="shared" ref="E911:E974" si="45">"UPDATE "&amp;$E$3&amp;" SET NEW_VENDOR_ID = '"&amp;D911&amp;"' WHERE LEGACY_VENDOR_ID = '"&amp;B911&amp;"' AND DATA_FOLDER_ID = '"&amp;$A911&amp;"'"</f>
        <v>UPDATE [MAP].[T_TRANS_VENDOR] SET NEW_VENDOR_ID = 'V0929' WHERE LEGACY_VENDOR_ID = 'TRUELINE' AND DATA_FOLDER_ID = 'sampl'</v>
      </c>
      <c r="F911" t="str">
        <f t="shared" ref="F911:F974" si="46">IF(B911&lt;&gt;D911,"Changed","-")</f>
        <v>Changed</v>
      </c>
      <c r="G911" t="str">
        <f t="shared" ref="G911:G974" si="47">IF(B911="","Hide","-")</f>
        <v>-</v>
      </c>
    </row>
    <row r="912" spans="1:7" x14ac:dyDescent="0.25">
      <c r="A912" s="2" t="s">
        <v>1</v>
      </c>
      <c r="B912" s="9" t="s">
        <v>949</v>
      </c>
      <c r="C912" t="s">
        <v>1949</v>
      </c>
      <c r="D912" s="5" t="s">
        <v>2949</v>
      </c>
      <c r="E912" t="str">
        <f t="shared" si="45"/>
        <v>UPDATE [MAP].[T_TRANS_VENDOR] SET NEW_VENDOR_ID = 'V0930' WHERE LEGACY_VENDOR_ID = 'TRUGREEN' AND DATA_FOLDER_ID = 'sampl'</v>
      </c>
      <c r="F912" t="str">
        <f t="shared" si="46"/>
        <v>Changed</v>
      </c>
      <c r="G912" t="str">
        <f t="shared" si="47"/>
        <v>-</v>
      </c>
    </row>
    <row r="913" spans="1:7" x14ac:dyDescent="0.25">
      <c r="A913" s="2" t="s">
        <v>1</v>
      </c>
      <c r="B913" s="9" t="s">
        <v>950</v>
      </c>
      <c r="C913" t="s">
        <v>1950</v>
      </c>
      <c r="D913" s="5" t="s">
        <v>2950</v>
      </c>
      <c r="E913" t="str">
        <f t="shared" si="45"/>
        <v>UPDATE [MAP].[T_TRANS_VENDOR] SET NEW_VENDOR_ID = 'V0931' WHERE LEGACY_VENDOR_ID = 'TRUSKEYI' AND DATA_FOLDER_ID = 'sampl'</v>
      </c>
      <c r="F913" t="str">
        <f t="shared" si="46"/>
        <v>Changed</v>
      </c>
      <c r="G913" t="str">
        <f t="shared" si="47"/>
        <v>-</v>
      </c>
    </row>
    <row r="914" spans="1:7" x14ac:dyDescent="0.25">
      <c r="A914" s="2" t="s">
        <v>1</v>
      </c>
      <c r="B914" s="9" t="s">
        <v>951</v>
      </c>
      <c r="C914" t="s">
        <v>1951</v>
      </c>
      <c r="D914" s="5" t="s">
        <v>2951</v>
      </c>
      <c r="E914" t="str">
        <f t="shared" si="45"/>
        <v>UPDATE [MAP].[T_TRANS_VENDOR] SET NEW_VENDOR_ID = 'V0932' WHERE LEGACY_VENDOR_ID = 'TSIENERG' AND DATA_FOLDER_ID = 'sampl'</v>
      </c>
      <c r="F914" t="str">
        <f t="shared" si="46"/>
        <v>Changed</v>
      </c>
      <c r="G914" t="str">
        <f t="shared" si="47"/>
        <v>-</v>
      </c>
    </row>
    <row r="915" spans="1:7" x14ac:dyDescent="0.25">
      <c r="A915" s="2" t="s">
        <v>1</v>
      </c>
      <c r="B915" s="9" t="s">
        <v>952</v>
      </c>
      <c r="C915" t="s">
        <v>952</v>
      </c>
      <c r="D915" s="5" t="s">
        <v>2952</v>
      </c>
      <c r="E915" t="str">
        <f t="shared" si="45"/>
        <v>UPDATE [MAP].[T_TRANS_VENDOR] SET NEW_VENDOR_ID = 'V0933' WHERE LEGACY_VENDOR_ID = 'TUG' AND DATA_FOLDER_ID = 'sampl'</v>
      </c>
      <c r="F915" t="str">
        <f t="shared" si="46"/>
        <v>Changed</v>
      </c>
      <c r="G915" t="str">
        <f t="shared" si="47"/>
        <v>-</v>
      </c>
    </row>
    <row r="916" spans="1:7" x14ac:dyDescent="0.25">
      <c r="A916" s="2" t="s">
        <v>1</v>
      </c>
      <c r="B916" s="9" t="s">
        <v>953</v>
      </c>
      <c r="C916" t="s">
        <v>1952</v>
      </c>
      <c r="D916" s="5" t="s">
        <v>2953</v>
      </c>
      <c r="E916" t="str">
        <f t="shared" si="45"/>
        <v>UPDATE [MAP].[T_TRANS_VENDOR] SET NEW_VENDOR_ID = 'V0934' WHERE LEGACY_VENDOR_ID = 'TULPEHOC' AND DATA_FOLDER_ID = 'sampl'</v>
      </c>
      <c r="F916" t="str">
        <f t="shared" si="46"/>
        <v>Changed</v>
      </c>
      <c r="G916" t="str">
        <f t="shared" si="47"/>
        <v>-</v>
      </c>
    </row>
    <row r="917" spans="1:7" x14ac:dyDescent="0.25">
      <c r="A917" s="2" t="s">
        <v>1</v>
      </c>
      <c r="B917" s="9" t="s">
        <v>954</v>
      </c>
      <c r="C917" t="s">
        <v>1953</v>
      </c>
      <c r="D917" s="5" t="s">
        <v>2954</v>
      </c>
      <c r="E917" t="str">
        <f t="shared" si="45"/>
        <v>UPDATE [MAP].[T_TRANS_VENDOR] SET NEW_VENDOR_ID = 'V0935' WHERE LEGACY_VENDOR_ID = 'TULPPETE' AND DATA_FOLDER_ID = 'sampl'</v>
      </c>
      <c r="F917" t="str">
        <f t="shared" si="46"/>
        <v>Changed</v>
      </c>
      <c r="G917" t="str">
        <f t="shared" si="47"/>
        <v>-</v>
      </c>
    </row>
    <row r="918" spans="1:7" x14ac:dyDescent="0.25">
      <c r="A918" s="2" t="s">
        <v>1</v>
      </c>
      <c r="B918" s="9" t="s">
        <v>955</v>
      </c>
      <c r="C918" t="s">
        <v>1954</v>
      </c>
      <c r="D918" s="5" t="s">
        <v>2955</v>
      </c>
      <c r="E918" t="str">
        <f t="shared" si="45"/>
        <v>UPDATE [MAP].[T_TRANS_VENDOR] SET NEW_VENDOR_ID = 'V0936' WHERE LEGACY_VENDOR_ID = 'TUNKFORD' AND DATA_FOLDER_ID = 'sampl'</v>
      </c>
      <c r="F918" t="str">
        <f t="shared" si="46"/>
        <v>Changed</v>
      </c>
      <c r="G918" t="str">
        <f t="shared" si="47"/>
        <v>-</v>
      </c>
    </row>
    <row r="919" spans="1:7" x14ac:dyDescent="0.25">
      <c r="A919" s="2" t="s">
        <v>1</v>
      </c>
      <c r="B919" s="9" t="s">
        <v>956</v>
      </c>
      <c r="C919" t="s">
        <v>1955</v>
      </c>
      <c r="D919" s="5" t="s">
        <v>2956</v>
      </c>
      <c r="E919" t="str">
        <f t="shared" si="45"/>
        <v>UPDATE [MAP].[T_TRANS_VENDOR] SET NEW_VENDOR_ID = 'V0937' WHERE LEGACY_VENDOR_ID = 'TURNERCO' AND DATA_FOLDER_ID = 'sampl'</v>
      </c>
      <c r="F919" t="str">
        <f t="shared" si="46"/>
        <v>Changed</v>
      </c>
      <c r="G919" t="str">
        <f t="shared" si="47"/>
        <v>-</v>
      </c>
    </row>
    <row r="920" spans="1:7" x14ac:dyDescent="0.25">
      <c r="A920" s="2" t="s">
        <v>1</v>
      </c>
      <c r="B920" s="9" t="s">
        <v>957</v>
      </c>
      <c r="C920" t="s">
        <v>1956</v>
      </c>
      <c r="D920" s="5" t="s">
        <v>2957</v>
      </c>
      <c r="E920" t="str">
        <f t="shared" si="45"/>
        <v>UPDATE [MAP].[T_TRANS_VENDOR] SET NEW_VENDOR_ID = 'V0938' WHERE LEGACY_VENDOR_ID = 'TURNERFOUN' AND DATA_FOLDER_ID = 'sampl'</v>
      </c>
      <c r="F920" t="str">
        <f t="shared" si="46"/>
        <v>Changed</v>
      </c>
      <c r="G920" t="str">
        <f t="shared" si="47"/>
        <v>-</v>
      </c>
    </row>
    <row r="921" spans="1:7" x14ac:dyDescent="0.25">
      <c r="A921" s="2" t="s">
        <v>1</v>
      </c>
      <c r="B921" s="9" t="s">
        <v>958</v>
      </c>
      <c r="C921" t="s">
        <v>958</v>
      </c>
      <c r="D921" s="5" t="s">
        <v>2958</v>
      </c>
      <c r="E921" t="str">
        <f t="shared" si="45"/>
        <v>UPDATE [MAP].[T_TRANS_VENDOR] SET NEW_VENDOR_ID = 'V0939' WHERE LEGACY_VENDOR_ID = 'UGI' AND DATA_FOLDER_ID = 'sampl'</v>
      </c>
      <c r="F921" t="str">
        <f t="shared" si="46"/>
        <v>Changed</v>
      </c>
      <c r="G921" t="str">
        <f t="shared" si="47"/>
        <v>-</v>
      </c>
    </row>
    <row r="922" spans="1:7" x14ac:dyDescent="0.25">
      <c r="A922" s="2" t="s">
        <v>1</v>
      </c>
      <c r="B922" s="9" t="s">
        <v>959</v>
      </c>
      <c r="C922" t="s">
        <v>1957</v>
      </c>
      <c r="D922" s="5" t="s">
        <v>2959</v>
      </c>
      <c r="E922" t="str">
        <f t="shared" si="45"/>
        <v>UPDATE [MAP].[T_TRANS_VENDOR] SET NEW_VENDOR_ID = 'V0940' WHERE LEGACY_VENDOR_ID = 'ULINESSS' AND DATA_FOLDER_ID = 'sampl'</v>
      </c>
      <c r="F922" t="str">
        <f t="shared" si="46"/>
        <v>Changed</v>
      </c>
      <c r="G922" t="str">
        <f t="shared" si="47"/>
        <v>-</v>
      </c>
    </row>
    <row r="923" spans="1:7" x14ac:dyDescent="0.25">
      <c r="A923" s="2" t="s">
        <v>1</v>
      </c>
      <c r="B923" s="9" t="s">
        <v>960</v>
      </c>
      <c r="C923" t="s">
        <v>1958</v>
      </c>
      <c r="D923" s="5" t="s">
        <v>2960</v>
      </c>
      <c r="E923" t="str">
        <f t="shared" si="45"/>
        <v>UPDATE [MAP].[T_TRANS_VENDOR] SET NEW_VENDOR_ID = 'V0941' WHERE LEGACY_VENDOR_ID = 'ULMAFORM' AND DATA_FOLDER_ID = 'sampl'</v>
      </c>
      <c r="F923" t="str">
        <f t="shared" si="46"/>
        <v>Changed</v>
      </c>
      <c r="G923" t="str">
        <f t="shared" si="47"/>
        <v>-</v>
      </c>
    </row>
    <row r="924" spans="1:7" x14ac:dyDescent="0.25">
      <c r="A924" s="2" t="s">
        <v>1</v>
      </c>
      <c r="B924" s="9" t="s">
        <v>961</v>
      </c>
      <c r="C924" t="s">
        <v>1959</v>
      </c>
      <c r="D924" s="5" t="s">
        <v>2961</v>
      </c>
      <c r="E924" t="str">
        <f t="shared" si="45"/>
        <v>UPDATE [MAP].[T_TRANS_VENDOR] SET NEW_VENDOR_ID = 'V0942' WHERE LEGACY_VENDOR_ID = 'UNIINSPE' AND DATA_FOLDER_ID = 'sampl'</v>
      </c>
      <c r="F924" t="str">
        <f t="shared" si="46"/>
        <v>Changed</v>
      </c>
      <c r="G924" t="str">
        <f t="shared" si="47"/>
        <v>-</v>
      </c>
    </row>
    <row r="925" spans="1:7" x14ac:dyDescent="0.25">
      <c r="A925" s="2" t="s">
        <v>1</v>
      </c>
      <c r="B925" s="9" t="s">
        <v>962</v>
      </c>
      <c r="C925" t="s">
        <v>1960</v>
      </c>
      <c r="D925" s="5" t="s">
        <v>2962</v>
      </c>
      <c r="E925" t="str">
        <f t="shared" si="45"/>
        <v>UPDATE [MAP].[T_TRANS_VENDOR] SET NEW_VENDOR_ID = 'V0943' WHERE LEGACY_VENDOR_ID = 'UNIMANUFAC' AND DATA_FOLDER_ID = 'sampl'</v>
      </c>
      <c r="F925" t="str">
        <f t="shared" si="46"/>
        <v>Changed</v>
      </c>
      <c r="G925" t="str">
        <f t="shared" si="47"/>
        <v>-</v>
      </c>
    </row>
    <row r="926" spans="1:7" x14ac:dyDescent="0.25">
      <c r="A926" s="2" t="s">
        <v>1</v>
      </c>
      <c r="B926" s="9" t="s">
        <v>963</v>
      </c>
      <c r="C926" t="s">
        <v>1961</v>
      </c>
      <c r="D926" s="5" t="s">
        <v>2963</v>
      </c>
      <c r="E926" t="str">
        <f t="shared" si="45"/>
        <v>UPDATE [MAP].[T_TRANS_VENDOR] SET NEW_VENDOR_ID = 'V0944' WHERE LEGACY_VENDOR_ID = 'UNIRENTA' AND DATA_FOLDER_ID = 'sampl'</v>
      </c>
      <c r="F926" t="str">
        <f t="shared" si="46"/>
        <v>Changed</v>
      </c>
      <c r="G926" t="str">
        <f t="shared" si="47"/>
        <v>-</v>
      </c>
    </row>
    <row r="927" spans="1:7" x14ac:dyDescent="0.25">
      <c r="A927" s="2" t="s">
        <v>1</v>
      </c>
      <c r="B927" s="9" t="s">
        <v>964</v>
      </c>
      <c r="C927" t="s">
        <v>1962</v>
      </c>
      <c r="D927" s="5" t="s">
        <v>2964</v>
      </c>
      <c r="E927" t="str">
        <f t="shared" si="45"/>
        <v>UPDATE [MAP].[T_TRANS_VENDOR] SET NEW_VENDOR_ID = 'V0945' WHERE LEGACY_VENDOR_ID = 'UNISTRUT' AND DATA_FOLDER_ID = 'sampl'</v>
      </c>
      <c r="F927" t="str">
        <f t="shared" si="46"/>
        <v>Changed</v>
      </c>
      <c r="G927" t="str">
        <f t="shared" si="47"/>
        <v>-</v>
      </c>
    </row>
    <row r="928" spans="1:7" x14ac:dyDescent="0.25">
      <c r="A928" s="2" t="s">
        <v>1</v>
      </c>
      <c r="B928" s="9" t="s">
        <v>965</v>
      </c>
      <c r="C928" t="s">
        <v>1963</v>
      </c>
      <c r="D928" s="5" t="s">
        <v>2965</v>
      </c>
      <c r="E928" t="str">
        <f t="shared" si="45"/>
        <v>UPDATE [MAP].[T_TRANS_VENDOR] SET NEW_VENDOR_ID = 'V0946' WHERE LEGACY_VENDOR_ID = 'UNITEDGLAS' AND DATA_FOLDER_ID = 'sampl'</v>
      </c>
      <c r="F928" t="str">
        <f t="shared" si="46"/>
        <v>Changed</v>
      </c>
      <c r="G928" t="str">
        <f t="shared" si="47"/>
        <v>-</v>
      </c>
    </row>
    <row r="929" spans="1:7" x14ac:dyDescent="0.25">
      <c r="A929" s="2" t="s">
        <v>1</v>
      </c>
      <c r="B929" s="9" t="s">
        <v>966</v>
      </c>
      <c r="C929" t="s">
        <v>1964</v>
      </c>
      <c r="D929" s="5" t="s">
        <v>2966</v>
      </c>
      <c r="E929" t="str">
        <f t="shared" si="45"/>
        <v>UPDATE [MAP].[T_TRANS_VENDOR] SET NEW_VENDOR_ID = 'V0947' WHERE LEGACY_VENDOR_ID = 'UNITEDPL' AND DATA_FOLDER_ID = 'sampl'</v>
      </c>
      <c r="F929" t="str">
        <f t="shared" si="46"/>
        <v>Changed</v>
      </c>
      <c r="G929" t="str">
        <f t="shared" si="47"/>
        <v>-</v>
      </c>
    </row>
    <row r="930" spans="1:7" x14ac:dyDescent="0.25">
      <c r="A930" s="2" t="s">
        <v>1</v>
      </c>
      <c r="B930" s="9" t="s">
        <v>967</v>
      </c>
      <c r="C930" t="s">
        <v>1965</v>
      </c>
      <c r="D930" s="5" t="s">
        <v>2967</v>
      </c>
      <c r="E930" t="str">
        <f t="shared" si="45"/>
        <v>UPDATE [MAP].[T_TRANS_VENDOR] SET NEW_VENDOR_ID = 'V0948' WHERE LEGACY_VENDOR_ID = 'UNITEDWA' AND DATA_FOLDER_ID = 'sampl'</v>
      </c>
      <c r="F930" t="str">
        <f t="shared" si="46"/>
        <v>Changed</v>
      </c>
      <c r="G930" t="str">
        <f t="shared" si="47"/>
        <v>-</v>
      </c>
    </row>
    <row r="931" spans="1:7" x14ac:dyDescent="0.25">
      <c r="A931" s="2" t="s">
        <v>1</v>
      </c>
      <c r="B931" s="9" t="s">
        <v>968</v>
      </c>
      <c r="C931" t="s">
        <v>1966</v>
      </c>
      <c r="D931" s="5" t="s">
        <v>2968</v>
      </c>
      <c r="E931" t="str">
        <f t="shared" si="45"/>
        <v>UPDATE [MAP].[T_TRANS_VENDOR] SET NEW_VENDOR_ID = 'V0949' WHERE LEGACY_VENDOR_ID = 'UPSTATEFP' AND DATA_FOLDER_ID = 'sampl'</v>
      </c>
      <c r="F931" t="str">
        <f t="shared" si="46"/>
        <v>Changed</v>
      </c>
      <c r="G931" t="str">
        <f t="shared" si="47"/>
        <v>-</v>
      </c>
    </row>
    <row r="932" spans="1:7" x14ac:dyDescent="0.25">
      <c r="A932" s="2" t="s">
        <v>1</v>
      </c>
      <c r="B932" s="9" t="s">
        <v>969</v>
      </c>
      <c r="C932" t="s">
        <v>1967</v>
      </c>
      <c r="D932" s="5" t="s">
        <v>2969</v>
      </c>
      <c r="E932" t="str">
        <f t="shared" si="45"/>
        <v>UPDATE [MAP].[T_TRANS_VENDOR] SET NEW_VENDOR_ID = 'V0950' WHERE LEGACY_VENDOR_ID = 'URBANELE' AND DATA_FOLDER_ID = 'sampl'</v>
      </c>
      <c r="F932" t="str">
        <f t="shared" si="46"/>
        <v>Changed</v>
      </c>
      <c r="G932" t="str">
        <f t="shared" si="47"/>
        <v>-</v>
      </c>
    </row>
    <row r="933" spans="1:7" x14ac:dyDescent="0.25">
      <c r="A933" s="2" t="s">
        <v>1</v>
      </c>
      <c r="B933" s="9" t="s">
        <v>970</v>
      </c>
      <c r="C933" t="s">
        <v>1968</v>
      </c>
      <c r="D933" s="5" t="s">
        <v>2970</v>
      </c>
      <c r="E933" t="str">
        <f t="shared" si="45"/>
        <v>UPDATE [MAP].[T_TRANS_VENDOR] SET NEW_VENDOR_ID = 'V0951' WHERE LEGACY_VENDOR_ID = 'USPIPING' AND DATA_FOLDER_ID = 'sampl'</v>
      </c>
      <c r="F933" t="str">
        <f t="shared" si="46"/>
        <v>Changed</v>
      </c>
      <c r="G933" t="str">
        <f t="shared" si="47"/>
        <v>-</v>
      </c>
    </row>
    <row r="934" spans="1:7" x14ac:dyDescent="0.25">
      <c r="A934" s="2" t="s">
        <v>1</v>
      </c>
      <c r="B934" s="9" t="s">
        <v>971</v>
      </c>
      <c r="C934" t="s">
        <v>1969</v>
      </c>
      <c r="D934" s="5" t="s">
        <v>2971</v>
      </c>
      <c r="E934" t="str">
        <f t="shared" si="45"/>
        <v>UPDATE [MAP].[T_TRANS_VENDOR] SET NEW_VENDOR_ID = 'V0952' WHERE LEGACY_VENDOR_ID = 'USPS' AND DATA_FOLDER_ID = 'sampl'</v>
      </c>
      <c r="F934" t="str">
        <f t="shared" si="46"/>
        <v>Changed</v>
      </c>
      <c r="G934" t="str">
        <f t="shared" si="47"/>
        <v>-</v>
      </c>
    </row>
    <row r="935" spans="1:7" x14ac:dyDescent="0.25">
      <c r="A935" s="2" t="s">
        <v>1</v>
      </c>
      <c r="B935" s="9" t="s">
        <v>972</v>
      </c>
      <c r="C935" t="s">
        <v>1970</v>
      </c>
      <c r="D935" s="5" t="s">
        <v>2972</v>
      </c>
      <c r="E935" t="str">
        <f t="shared" si="45"/>
        <v>UPDATE [MAP].[T_TRANS_VENDOR] SET NEW_VENDOR_ID = 'V0953' WHERE LEGACY_VENDOR_ID = 'VALLEUSUP' AND DATA_FOLDER_ID = 'sampl'</v>
      </c>
      <c r="F935" t="str">
        <f t="shared" si="46"/>
        <v>Changed</v>
      </c>
      <c r="G935" t="str">
        <f t="shared" si="47"/>
        <v>-</v>
      </c>
    </row>
    <row r="936" spans="1:7" x14ac:dyDescent="0.25">
      <c r="A936" s="2" t="s">
        <v>1</v>
      </c>
      <c r="B936" s="9" t="s">
        <v>973</v>
      </c>
      <c r="C936" t="s">
        <v>1971</v>
      </c>
      <c r="D936" s="5" t="s">
        <v>2973</v>
      </c>
      <c r="E936" t="str">
        <f t="shared" si="45"/>
        <v>UPDATE [MAP].[T_TRANS_VENDOR] SET NEW_VENDOR_ID = 'V0954' WHERE LEGACY_VENDOR_ID = 'VALLEYAU' AND DATA_FOLDER_ID = 'sampl'</v>
      </c>
      <c r="F936" t="str">
        <f t="shared" si="46"/>
        <v>Changed</v>
      </c>
      <c r="G936" t="str">
        <f t="shared" si="47"/>
        <v>-</v>
      </c>
    </row>
    <row r="937" spans="1:7" x14ac:dyDescent="0.25">
      <c r="A937" s="2" t="s">
        <v>1</v>
      </c>
      <c r="B937" s="9" t="s">
        <v>974</v>
      </c>
      <c r="C937" t="s">
        <v>1972</v>
      </c>
      <c r="D937" s="5" t="s">
        <v>2974</v>
      </c>
      <c r="E937" t="str">
        <f t="shared" si="45"/>
        <v>UPDATE [MAP].[T_TRANS_VENDOR] SET NEW_VENDOR_ID = 'V0955' WHERE LEGACY_VENDOR_ID = 'VALUEDCLEA' AND DATA_FOLDER_ID = 'sampl'</v>
      </c>
      <c r="F937" t="str">
        <f t="shared" si="46"/>
        <v>Changed</v>
      </c>
      <c r="G937" t="str">
        <f t="shared" si="47"/>
        <v>-</v>
      </c>
    </row>
    <row r="938" spans="1:7" x14ac:dyDescent="0.25">
      <c r="A938" s="2" t="s">
        <v>1</v>
      </c>
      <c r="B938" s="9" t="s">
        <v>975</v>
      </c>
      <c r="C938" t="s">
        <v>1973</v>
      </c>
      <c r="D938" s="5" t="s">
        <v>2975</v>
      </c>
      <c r="E938" t="str">
        <f t="shared" si="45"/>
        <v>UPDATE [MAP].[T_TRANS_VENDOR] SET NEW_VENDOR_ID = 'V0956' WHERE LEGACY_VENDOR_ID = 'VALVANOS' AND DATA_FOLDER_ID = 'sampl'</v>
      </c>
      <c r="F938" t="str">
        <f t="shared" si="46"/>
        <v>Changed</v>
      </c>
      <c r="G938" t="str">
        <f t="shared" si="47"/>
        <v>-</v>
      </c>
    </row>
    <row r="939" spans="1:7" x14ac:dyDescent="0.25">
      <c r="A939" s="2" t="s">
        <v>1</v>
      </c>
      <c r="B939" s="9" t="s">
        <v>976</v>
      </c>
      <c r="C939" t="s">
        <v>1974</v>
      </c>
      <c r="D939" s="5" t="s">
        <v>2976</v>
      </c>
      <c r="E939" t="str">
        <f t="shared" si="45"/>
        <v>UPDATE [MAP].[T_TRANS_VENDOR] SET NEW_VENDOR_ID = 'V0957' WHERE LEGACY_VENDOR_ID = 'VANMORPL' AND DATA_FOLDER_ID = 'sampl'</v>
      </c>
      <c r="F939" t="str">
        <f t="shared" si="46"/>
        <v>Changed</v>
      </c>
      <c r="G939" t="str">
        <f t="shared" si="47"/>
        <v>-</v>
      </c>
    </row>
    <row r="940" spans="1:7" x14ac:dyDescent="0.25">
      <c r="A940" s="2" t="s">
        <v>1</v>
      </c>
      <c r="B940" s="9" t="s">
        <v>977</v>
      </c>
      <c r="C940" t="s">
        <v>1975</v>
      </c>
      <c r="D940" s="5" t="s">
        <v>2977</v>
      </c>
      <c r="E940" t="str">
        <f t="shared" si="45"/>
        <v>UPDATE [MAP].[T_TRANS_VENDOR] SET NEW_VENDOR_ID = 'V0958' WHERE LEGACY_VENDOR_ID = 'VARSITYI' AND DATA_FOLDER_ID = 'sampl'</v>
      </c>
      <c r="F940" t="str">
        <f t="shared" si="46"/>
        <v>Changed</v>
      </c>
      <c r="G940" t="str">
        <f t="shared" si="47"/>
        <v>-</v>
      </c>
    </row>
    <row r="941" spans="1:7" x14ac:dyDescent="0.25">
      <c r="A941" s="2" t="s">
        <v>1</v>
      </c>
      <c r="B941" s="9" t="s">
        <v>978</v>
      </c>
      <c r="C941" t="s">
        <v>1976</v>
      </c>
      <c r="D941" s="5" t="s">
        <v>2978</v>
      </c>
      <c r="E941" t="str">
        <f t="shared" si="45"/>
        <v>UPDATE [MAP].[T_TRANS_VENDOR] SET NEW_VENDOR_ID = 'V0959' WHERE LEGACY_VENDOR_ID = 'VECTORSE' AND DATA_FOLDER_ID = 'sampl'</v>
      </c>
      <c r="F941" t="str">
        <f t="shared" si="46"/>
        <v>Changed</v>
      </c>
      <c r="G941" t="str">
        <f t="shared" si="47"/>
        <v>-</v>
      </c>
    </row>
    <row r="942" spans="1:7" x14ac:dyDescent="0.25">
      <c r="A942" s="2" t="s">
        <v>1</v>
      </c>
      <c r="B942" s="9" t="s">
        <v>979</v>
      </c>
      <c r="C942" t="s">
        <v>1977</v>
      </c>
      <c r="D942" s="5" t="s">
        <v>2979</v>
      </c>
      <c r="E942" t="str">
        <f t="shared" si="45"/>
        <v>UPDATE [MAP].[T_TRANS_VENDOR] SET NEW_VENDOR_ID = 'V0960' WHERE LEGACY_VENDOR_ID = 'VERIZONPA' AND DATA_FOLDER_ID = 'sampl'</v>
      </c>
      <c r="F942" t="str">
        <f t="shared" si="46"/>
        <v>Changed</v>
      </c>
      <c r="G942" t="str">
        <f t="shared" si="47"/>
        <v>-</v>
      </c>
    </row>
    <row r="943" spans="1:7" x14ac:dyDescent="0.25">
      <c r="A943" s="2" t="s">
        <v>1</v>
      </c>
      <c r="B943" s="9" t="s">
        <v>980</v>
      </c>
      <c r="C943" t="s">
        <v>1978</v>
      </c>
      <c r="D943" s="5" t="s">
        <v>2980</v>
      </c>
      <c r="E943" t="str">
        <f t="shared" si="45"/>
        <v>UPDATE [MAP].[T_TRANS_VENDOR] SET NEW_VENDOR_ID = 'V0961' WHERE LEGACY_VENDOR_ID = 'VERIZONW' AND DATA_FOLDER_ID = 'sampl'</v>
      </c>
      <c r="F943" t="str">
        <f t="shared" si="46"/>
        <v>Changed</v>
      </c>
      <c r="G943" t="str">
        <f t="shared" si="47"/>
        <v>-</v>
      </c>
    </row>
    <row r="944" spans="1:7" x14ac:dyDescent="0.25">
      <c r="A944" s="2" t="s">
        <v>1</v>
      </c>
      <c r="B944" s="9" t="s">
        <v>981</v>
      </c>
      <c r="C944" t="s">
        <v>1979</v>
      </c>
      <c r="D944" s="5" t="s">
        <v>2981</v>
      </c>
      <c r="E944" t="str">
        <f t="shared" si="45"/>
        <v>UPDATE [MAP].[T_TRANS_VENDOR] SET NEW_VENDOR_ID = 'V0962' WHERE LEGACY_VENDOR_ID = 'VIKINGSTL' AND DATA_FOLDER_ID = 'sampl'</v>
      </c>
      <c r="F944" t="str">
        <f t="shared" si="46"/>
        <v>Changed</v>
      </c>
      <c r="G944" t="str">
        <f t="shared" si="47"/>
        <v>-</v>
      </c>
    </row>
    <row r="945" spans="1:7" x14ac:dyDescent="0.25">
      <c r="A945" s="2" t="s">
        <v>1</v>
      </c>
      <c r="B945" s="9" t="s">
        <v>982</v>
      </c>
      <c r="C945" t="s">
        <v>1980</v>
      </c>
      <c r="D945" s="5" t="s">
        <v>2982</v>
      </c>
      <c r="E945" t="str">
        <f t="shared" si="45"/>
        <v>UPDATE [MAP].[T_TRANS_VENDOR] SET NEW_VENDOR_ID = 'V0963' WHERE LEGACY_VENDOR_ID = 'VIMCO' AND DATA_FOLDER_ID = 'sampl'</v>
      </c>
      <c r="F945" t="str">
        <f t="shared" si="46"/>
        <v>Changed</v>
      </c>
      <c r="G945" t="str">
        <f t="shared" si="47"/>
        <v>-</v>
      </c>
    </row>
    <row r="946" spans="1:7" x14ac:dyDescent="0.25">
      <c r="A946" s="2" t="s">
        <v>1</v>
      </c>
      <c r="B946" s="9" t="s">
        <v>983</v>
      </c>
      <c r="C946" t="s">
        <v>1981</v>
      </c>
      <c r="D946" s="5" t="s">
        <v>2983</v>
      </c>
      <c r="E946" t="str">
        <f t="shared" si="45"/>
        <v>UPDATE [MAP].[T_TRANS_VENDOR] SET NEW_VENDOR_ID = 'V0964' WHERE LEGACY_VENDOR_ID = 'VISIONBE' AND DATA_FOLDER_ID = 'sampl'</v>
      </c>
      <c r="F946" t="str">
        <f t="shared" si="46"/>
        <v>Changed</v>
      </c>
      <c r="G946" t="str">
        <f t="shared" si="47"/>
        <v>-</v>
      </c>
    </row>
    <row r="947" spans="1:7" x14ac:dyDescent="0.25">
      <c r="A947" s="2" t="s">
        <v>1</v>
      </c>
      <c r="B947" s="9" t="s">
        <v>984</v>
      </c>
      <c r="C947" t="s">
        <v>1982</v>
      </c>
      <c r="D947" s="5" t="s">
        <v>2984</v>
      </c>
      <c r="E947" t="str">
        <f t="shared" si="45"/>
        <v>UPDATE [MAP].[T_TRANS_VENDOR] SET NEW_VENDOR_ID = 'V0965' WHERE LEGACY_VENDOR_ID = 'VOITEKTV' AND DATA_FOLDER_ID = 'sampl'</v>
      </c>
      <c r="F947" t="str">
        <f t="shared" si="46"/>
        <v>Changed</v>
      </c>
      <c r="G947" t="str">
        <f t="shared" si="47"/>
        <v>-</v>
      </c>
    </row>
    <row r="948" spans="1:7" x14ac:dyDescent="0.25">
      <c r="A948" s="2" t="s">
        <v>1</v>
      </c>
      <c r="B948" s="9" t="s">
        <v>985</v>
      </c>
      <c r="C948" t="s">
        <v>1983</v>
      </c>
      <c r="D948" s="5" t="s">
        <v>2985</v>
      </c>
      <c r="E948" t="str">
        <f t="shared" si="45"/>
        <v>UPDATE [MAP].[T_TRANS_VENDOR] SET NEW_VENDOR_ID = 'V0966' WHERE LEGACY_VENDOR_ID = 'VOLLERS' AND DATA_FOLDER_ID = 'sampl'</v>
      </c>
      <c r="F948" t="str">
        <f t="shared" si="46"/>
        <v>Changed</v>
      </c>
      <c r="G948" t="str">
        <f t="shared" si="47"/>
        <v>-</v>
      </c>
    </row>
    <row r="949" spans="1:7" x14ac:dyDescent="0.25">
      <c r="A949" s="2" t="s">
        <v>1</v>
      </c>
      <c r="B949" s="9" t="s">
        <v>986</v>
      </c>
      <c r="C949" t="s">
        <v>1984</v>
      </c>
      <c r="D949" s="5" t="s">
        <v>2986</v>
      </c>
      <c r="E949" t="str">
        <f t="shared" si="45"/>
        <v>UPDATE [MAP].[T_TRANS_VENDOR] SET NEW_VENDOR_ID = 'V0967' WHERE LEGACY_VENDOR_ID = 'VWRINTER' AND DATA_FOLDER_ID = 'sampl'</v>
      </c>
      <c r="F949" t="str">
        <f t="shared" si="46"/>
        <v>Changed</v>
      </c>
      <c r="G949" t="str">
        <f t="shared" si="47"/>
        <v>-</v>
      </c>
    </row>
    <row r="950" spans="1:7" x14ac:dyDescent="0.25">
      <c r="A950" s="2" t="s">
        <v>1</v>
      </c>
      <c r="B950" s="9" t="s">
        <v>987</v>
      </c>
      <c r="C950" t="s">
        <v>1985</v>
      </c>
      <c r="D950" s="5" t="s">
        <v>2987</v>
      </c>
      <c r="E950" t="str">
        <f t="shared" si="45"/>
        <v>UPDATE [MAP].[T_TRANS_VENDOR] SET NEW_VENDOR_ID = 'V0968' WHERE LEGACY_VENDOR_ID = 'WALKERCO' AND DATA_FOLDER_ID = 'sampl'</v>
      </c>
      <c r="F950" t="str">
        <f t="shared" si="46"/>
        <v>Changed</v>
      </c>
      <c r="G950" t="str">
        <f t="shared" si="47"/>
        <v>-</v>
      </c>
    </row>
    <row r="951" spans="1:7" x14ac:dyDescent="0.25">
      <c r="A951" s="2" t="s">
        <v>1</v>
      </c>
      <c r="B951" s="9" t="s">
        <v>988</v>
      </c>
      <c r="C951" t="s">
        <v>1986</v>
      </c>
      <c r="D951" s="5" t="s">
        <v>2988</v>
      </c>
      <c r="E951" t="str">
        <f t="shared" si="45"/>
        <v>UPDATE [MAP].[T_TRANS_VENDOR] SET NEW_VENDOR_ID = 'V0969' WHERE LEGACY_VENDOR_ID = 'WALSHELE' AND DATA_FOLDER_ID = 'sampl'</v>
      </c>
      <c r="F951" t="str">
        <f t="shared" si="46"/>
        <v>Changed</v>
      </c>
      <c r="G951" t="str">
        <f t="shared" si="47"/>
        <v>-</v>
      </c>
    </row>
    <row r="952" spans="1:7" x14ac:dyDescent="0.25">
      <c r="A952" s="2" t="s">
        <v>1</v>
      </c>
      <c r="B952" s="9" t="s">
        <v>989</v>
      </c>
      <c r="C952" t="s">
        <v>1987</v>
      </c>
      <c r="D952" s="5" t="s">
        <v>2989</v>
      </c>
      <c r="E952" t="str">
        <f t="shared" si="45"/>
        <v>UPDATE [MAP].[T_TRANS_VENDOR] SET NEW_VENDOR_ID = 'V0970' WHERE LEGACY_VENDOR_ID = 'WALTERSS' AND DATA_FOLDER_ID = 'sampl'</v>
      </c>
      <c r="F952" t="str">
        <f t="shared" si="46"/>
        <v>Changed</v>
      </c>
      <c r="G952" t="str">
        <f t="shared" si="47"/>
        <v>-</v>
      </c>
    </row>
    <row r="953" spans="1:7" x14ac:dyDescent="0.25">
      <c r="A953" s="2" t="s">
        <v>1</v>
      </c>
      <c r="B953" s="9" t="s">
        <v>990</v>
      </c>
      <c r="C953" t="s">
        <v>1988</v>
      </c>
      <c r="D953" s="5" t="s">
        <v>2990</v>
      </c>
      <c r="E953" t="str">
        <f t="shared" si="45"/>
        <v>UPDATE [MAP].[T_TRANS_VENDOR] SET NEW_VENDOR_ID = 'V0971' WHERE LEGACY_VENDOR_ID = 'WARKOGRP' AND DATA_FOLDER_ID = 'sampl'</v>
      </c>
      <c r="F953" t="str">
        <f t="shared" si="46"/>
        <v>Changed</v>
      </c>
      <c r="G953" t="str">
        <f t="shared" si="47"/>
        <v>-</v>
      </c>
    </row>
    <row r="954" spans="1:7" x14ac:dyDescent="0.25">
      <c r="A954" s="2" t="s">
        <v>1</v>
      </c>
      <c r="B954" s="9" t="s">
        <v>991</v>
      </c>
      <c r="C954" t="s">
        <v>1989</v>
      </c>
      <c r="D954" s="5" t="s">
        <v>2991</v>
      </c>
      <c r="E954" t="str">
        <f t="shared" si="45"/>
        <v>UPDATE [MAP].[T_TRANS_VENDOR] SET NEW_VENDOR_ID = 'V0972' WHERE LEGACY_VENDOR_ID = 'WASTEMAN' AND DATA_FOLDER_ID = 'sampl'</v>
      </c>
      <c r="F954" t="str">
        <f t="shared" si="46"/>
        <v>Changed</v>
      </c>
      <c r="G954" t="str">
        <f t="shared" si="47"/>
        <v>-</v>
      </c>
    </row>
    <row r="955" spans="1:7" x14ac:dyDescent="0.25">
      <c r="A955" s="2" t="s">
        <v>1</v>
      </c>
      <c r="B955" s="9" t="s">
        <v>992</v>
      </c>
      <c r="C955" t="s">
        <v>1990</v>
      </c>
      <c r="D955" s="5" t="s">
        <v>2992</v>
      </c>
      <c r="E955" t="str">
        <f t="shared" si="45"/>
        <v>UPDATE [MAP].[T_TRANS_VENDOR] SET NEW_VENDOR_ID = 'V0973' WHERE LEGACY_VENDOR_ID = 'WEISBERG' AND DATA_FOLDER_ID = 'sampl'</v>
      </c>
      <c r="F955" t="str">
        <f t="shared" si="46"/>
        <v>Changed</v>
      </c>
      <c r="G955" t="str">
        <f t="shared" si="47"/>
        <v>-</v>
      </c>
    </row>
    <row r="956" spans="1:7" x14ac:dyDescent="0.25">
      <c r="A956" s="2" t="s">
        <v>1</v>
      </c>
      <c r="B956" s="9" t="s">
        <v>993</v>
      </c>
      <c r="C956" t="s">
        <v>1991</v>
      </c>
      <c r="D956" s="5" t="s">
        <v>2993</v>
      </c>
      <c r="E956" t="str">
        <f t="shared" si="45"/>
        <v>UPDATE [MAP].[T_TRANS_VENDOR] SET NEW_VENDOR_ID = 'V0974' WHERE LEGACY_VENDOR_ID = 'WESEEPRO' AND DATA_FOLDER_ID = 'sampl'</v>
      </c>
      <c r="F956" t="str">
        <f t="shared" si="46"/>
        <v>Changed</v>
      </c>
      <c r="G956" t="str">
        <f t="shared" si="47"/>
        <v>-</v>
      </c>
    </row>
    <row r="957" spans="1:7" x14ac:dyDescent="0.25">
      <c r="A957" s="2" t="s">
        <v>1</v>
      </c>
      <c r="B957" s="9" t="s">
        <v>994</v>
      </c>
      <c r="C957" t="s">
        <v>1992</v>
      </c>
      <c r="D957" s="5" t="s">
        <v>2994</v>
      </c>
      <c r="E957" t="str">
        <f t="shared" si="45"/>
        <v>UPDATE [MAP].[T_TRANS_VENDOR] SET NEW_VENDOR_ID = 'V0975' WHERE LEGACY_VENDOR_ID = 'WESTMATIC' AND DATA_FOLDER_ID = 'sampl'</v>
      </c>
      <c r="F957" t="str">
        <f t="shared" si="46"/>
        <v>Changed</v>
      </c>
      <c r="G957" t="str">
        <f t="shared" si="47"/>
        <v>-</v>
      </c>
    </row>
    <row r="958" spans="1:7" x14ac:dyDescent="0.25">
      <c r="A958" s="2" t="s">
        <v>1</v>
      </c>
      <c r="B958" s="9" t="s">
        <v>995</v>
      </c>
      <c r="C958" t="s">
        <v>1993</v>
      </c>
      <c r="D958" s="5" t="s">
        <v>2995</v>
      </c>
      <c r="E958" t="str">
        <f t="shared" si="45"/>
        <v>UPDATE [MAP].[T_TRANS_VENDOR] SET NEW_VENDOR_ID = 'V0976' WHERE LEGACY_VENDOR_ID = 'WESTTRUC' AND DATA_FOLDER_ID = 'sampl'</v>
      </c>
      <c r="F958" t="str">
        <f t="shared" si="46"/>
        <v>Changed</v>
      </c>
      <c r="G958" t="str">
        <f t="shared" si="47"/>
        <v>-</v>
      </c>
    </row>
    <row r="959" spans="1:7" x14ac:dyDescent="0.25">
      <c r="A959" s="2" t="s">
        <v>1</v>
      </c>
      <c r="B959" s="9" t="s">
        <v>996</v>
      </c>
      <c r="C959" t="s">
        <v>1994</v>
      </c>
      <c r="D959" s="5" t="s">
        <v>2996</v>
      </c>
      <c r="E959" t="str">
        <f t="shared" si="45"/>
        <v>UPDATE [MAP].[T_TRANS_VENDOR] SET NEW_VENDOR_ID = 'V0977' WHERE LEGACY_VENDOR_ID = 'WESTWIND' AND DATA_FOLDER_ID = 'sampl'</v>
      </c>
      <c r="F959" t="str">
        <f t="shared" si="46"/>
        <v>Changed</v>
      </c>
      <c r="G959" t="str">
        <f t="shared" si="47"/>
        <v>-</v>
      </c>
    </row>
    <row r="960" spans="1:7" x14ac:dyDescent="0.25">
      <c r="A960" s="2" t="s">
        <v>1</v>
      </c>
      <c r="B960" s="9" t="s">
        <v>997</v>
      </c>
      <c r="C960" t="s">
        <v>1995</v>
      </c>
      <c r="D960" s="5" t="s">
        <v>2997</v>
      </c>
      <c r="E960" t="str">
        <f t="shared" si="45"/>
        <v>UPDATE [MAP].[T_TRANS_VENDOR] SET NEW_VENDOR_ID = 'V0978' WHERE LEGACY_VENDOR_ID = 'WEXBANK' AND DATA_FOLDER_ID = 'sampl'</v>
      </c>
      <c r="F960" t="str">
        <f t="shared" si="46"/>
        <v>Changed</v>
      </c>
      <c r="G960" t="str">
        <f t="shared" si="47"/>
        <v>-</v>
      </c>
    </row>
    <row r="961" spans="1:7" x14ac:dyDescent="0.25">
      <c r="A961" s="2" t="s">
        <v>1</v>
      </c>
      <c r="B961" s="9" t="s">
        <v>998</v>
      </c>
      <c r="C961" t="s">
        <v>1996</v>
      </c>
      <c r="D961" s="5" t="s">
        <v>2998</v>
      </c>
      <c r="E961" t="str">
        <f t="shared" si="45"/>
        <v>UPDATE [MAP].[T_TRANS_VENDOR] SET NEW_VENDOR_ID = 'V0979' WHERE LEGACY_VENDOR_ID = 'WHITECAP' AND DATA_FOLDER_ID = 'sampl'</v>
      </c>
      <c r="F961" t="str">
        <f t="shared" si="46"/>
        <v>Changed</v>
      </c>
      <c r="G961" t="str">
        <f t="shared" si="47"/>
        <v>-</v>
      </c>
    </row>
    <row r="962" spans="1:7" x14ac:dyDescent="0.25">
      <c r="A962" s="2" t="s">
        <v>1</v>
      </c>
      <c r="B962" s="9" t="s">
        <v>999</v>
      </c>
      <c r="C962" t="s">
        <v>1997</v>
      </c>
      <c r="D962" s="5" t="s">
        <v>2999</v>
      </c>
      <c r="E962" t="str">
        <f t="shared" si="45"/>
        <v>UPDATE [MAP].[T_TRANS_VENDOR] SET NEW_VENDOR_ID = 'V0980' WHERE LEGACY_VENDOR_ID = 'WHITEHAL' AND DATA_FOLDER_ID = 'sampl'</v>
      </c>
      <c r="F962" t="str">
        <f t="shared" si="46"/>
        <v>Changed</v>
      </c>
      <c r="G962" t="str">
        <f t="shared" si="47"/>
        <v>-</v>
      </c>
    </row>
    <row r="963" spans="1:7" x14ac:dyDescent="0.25">
      <c r="A963" s="2" t="s">
        <v>1</v>
      </c>
      <c r="B963" s="9" t="s">
        <v>1000</v>
      </c>
      <c r="C963" t="s">
        <v>1998</v>
      </c>
      <c r="D963" s="5" t="s">
        <v>3000</v>
      </c>
      <c r="E963" t="str">
        <f t="shared" si="45"/>
        <v>UPDATE [MAP].[T_TRANS_VENDOR] SET NEW_VENDOR_ID = 'V0981' WHERE LEGACY_VENDOR_ID = 'WHITNEY' AND DATA_FOLDER_ID = 'sampl'</v>
      </c>
      <c r="F963" t="str">
        <f t="shared" si="46"/>
        <v>Changed</v>
      </c>
      <c r="G963" t="str">
        <f t="shared" si="47"/>
        <v>-</v>
      </c>
    </row>
    <row r="964" spans="1:7" x14ac:dyDescent="0.25">
      <c r="A964" s="2" t="s">
        <v>1</v>
      </c>
      <c r="B964" s="9" t="s">
        <v>1001</v>
      </c>
      <c r="C964" t="s">
        <v>1999</v>
      </c>
      <c r="D964" s="5" t="s">
        <v>3001</v>
      </c>
      <c r="E964" t="str">
        <f t="shared" si="45"/>
        <v>UPDATE [MAP].[T_TRANS_VENDOR] SET NEW_VENDOR_ID = 'V0982' WHERE LEGACY_VENDOR_ID = 'WILKESMA' AND DATA_FOLDER_ID = 'sampl'</v>
      </c>
      <c r="F964" t="str">
        <f t="shared" si="46"/>
        <v>Changed</v>
      </c>
      <c r="G964" t="str">
        <f t="shared" si="47"/>
        <v>-</v>
      </c>
    </row>
    <row r="965" spans="1:7" x14ac:dyDescent="0.25">
      <c r="A965" s="2" t="s">
        <v>1</v>
      </c>
      <c r="B965" s="9" t="s">
        <v>1002</v>
      </c>
      <c r="C965" t="s">
        <v>2000</v>
      </c>
      <c r="D965" s="5" t="s">
        <v>3002</v>
      </c>
      <c r="E965" t="str">
        <f t="shared" si="45"/>
        <v>UPDATE [MAP].[T_TRANS_VENDOR] SET NEW_VENDOR_ID = 'V0983' WHERE LEGACY_VENDOR_ID = 'WILLIAMJ' AND DATA_FOLDER_ID = 'sampl'</v>
      </c>
      <c r="F965" t="str">
        <f t="shared" si="46"/>
        <v>Changed</v>
      </c>
      <c r="G965" t="str">
        <f t="shared" si="47"/>
        <v>-</v>
      </c>
    </row>
    <row r="966" spans="1:7" x14ac:dyDescent="0.25">
      <c r="A966" s="2" t="s">
        <v>1</v>
      </c>
      <c r="B966" s="9" t="s">
        <v>1003</v>
      </c>
      <c r="C966" t="s">
        <v>2001</v>
      </c>
      <c r="D966" s="5" t="s">
        <v>3003</v>
      </c>
      <c r="E966" t="str">
        <f t="shared" si="45"/>
        <v>UPDATE [MAP].[T_TRANS_VENDOR] SET NEW_VENDOR_ID = 'V0984' WHERE LEGACY_VENDOR_ID = 'WILLSCOT' AND DATA_FOLDER_ID = 'sampl'</v>
      </c>
      <c r="F966" t="str">
        <f t="shared" si="46"/>
        <v>Changed</v>
      </c>
      <c r="G966" t="str">
        <f t="shared" si="47"/>
        <v>-</v>
      </c>
    </row>
    <row r="967" spans="1:7" x14ac:dyDescent="0.25">
      <c r="A967" s="2" t="s">
        <v>1</v>
      </c>
      <c r="B967" s="9" t="s">
        <v>1004</v>
      </c>
      <c r="C967" t="s">
        <v>2002</v>
      </c>
      <c r="D967" s="5" t="s">
        <v>3004</v>
      </c>
      <c r="E967" t="str">
        <f t="shared" si="45"/>
        <v>UPDATE [MAP].[T_TRANS_VENDOR] SET NEW_VENDOR_ID = 'V0985' WHERE LEGACY_VENDOR_ID = 'WILSNASP' AND DATA_FOLDER_ID = 'sampl'</v>
      </c>
      <c r="F967" t="str">
        <f t="shared" si="46"/>
        <v>Changed</v>
      </c>
      <c r="G967" t="str">
        <f t="shared" si="47"/>
        <v>-</v>
      </c>
    </row>
    <row r="968" spans="1:7" x14ac:dyDescent="0.25">
      <c r="A968" s="2" t="s">
        <v>1</v>
      </c>
      <c r="B968" s="9" t="s">
        <v>1005</v>
      </c>
      <c r="C968" t="s">
        <v>2003</v>
      </c>
      <c r="D968" s="5" t="s">
        <v>3005</v>
      </c>
      <c r="E968" t="str">
        <f t="shared" si="45"/>
        <v>UPDATE [MAP].[T_TRANS_VENDOR] SET NEW_VENDOR_ID = 'V0986' WHERE LEGACY_VENDOR_ID = 'WINCHEST' AND DATA_FOLDER_ID = 'sampl'</v>
      </c>
      <c r="F968" t="str">
        <f t="shared" si="46"/>
        <v>Changed</v>
      </c>
      <c r="G968" t="str">
        <f t="shared" si="47"/>
        <v>-</v>
      </c>
    </row>
    <row r="969" spans="1:7" x14ac:dyDescent="0.25">
      <c r="A969" s="2" t="s">
        <v>1</v>
      </c>
      <c r="B969" s="9" t="s">
        <v>1006</v>
      </c>
      <c r="C969" t="s">
        <v>2004</v>
      </c>
      <c r="D969" s="5" t="s">
        <v>3006</v>
      </c>
      <c r="E969" t="str">
        <f t="shared" si="45"/>
        <v>UPDATE [MAP].[T_TRANS_VENDOR] SET NEW_VENDOR_ID = 'V0987' WHERE LEGACY_VENDOR_ID = 'WINDRIVE' AND DATA_FOLDER_ID = 'sampl'</v>
      </c>
      <c r="F969" t="str">
        <f t="shared" si="46"/>
        <v>Changed</v>
      </c>
      <c r="G969" t="str">
        <f t="shared" si="47"/>
        <v>-</v>
      </c>
    </row>
    <row r="970" spans="1:7" x14ac:dyDescent="0.25">
      <c r="A970" s="2" t="s">
        <v>1</v>
      </c>
      <c r="B970" s="9" t="s">
        <v>1007</v>
      </c>
      <c r="C970" t="s">
        <v>2005</v>
      </c>
      <c r="D970" s="5" t="s">
        <v>3007</v>
      </c>
      <c r="E970" t="str">
        <f t="shared" si="45"/>
        <v>UPDATE [MAP].[T_TRANS_VENDOR] SET NEW_VENDOR_ID = 'V0988' WHERE LEGACY_VENDOR_ID = 'WINDSORT' AND DATA_FOLDER_ID = 'sampl'</v>
      </c>
      <c r="F970" t="str">
        <f t="shared" si="46"/>
        <v>Changed</v>
      </c>
      <c r="G970" t="str">
        <f t="shared" si="47"/>
        <v>-</v>
      </c>
    </row>
    <row r="971" spans="1:7" x14ac:dyDescent="0.25">
      <c r="A971" s="2" t="s">
        <v>1</v>
      </c>
      <c r="B971" s="9" t="s">
        <v>1008</v>
      </c>
      <c r="C971" t="s">
        <v>2006</v>
      </c>
      <c r="D971" s="5" t="s">
        <v>3008</v>
      </c>
      <c r="E971" t="str">
        <f t="shared" si="45"/>
        <v>UPDATE [MAP].[T_TRANS_VENDOR] SET NEW_VENDOR_ID = 'V0989' WHERE LEGACY_VENDOR_ID = 'WINGCOIN' AND DATA_FOLDER_ID = 'sampl'</v>
      </c>
      <c r="F971" t="str">
        <f t="shared" si="46"/>
        <v>Changed</v>
      </c>
      <c r="G971" t="str">
        <f t="shared" si="47"/>
        <v>-</v>
      </c>
    </row>
    <row r="972" spans="1:7" x14ac:dyDescent="0.25">
      <c r="A972" s="2" t="s">
        <v>1</v>
      </c>
      <c r="B972" s="9" t="s">
        <v>1009</v>
      </c>
      <c r="C972" t="s">
        <v>2007</v>
      </c>
      <c r="D972" s="5" t="s">
        <v>3009</v>
      </c>
      <c r="E972" t="str">
        <f t="shared" si="45"/>
        <v>UPDATE [MAP].[T_TRANS_VENDOR] SET NEW_VENDOR_ID = 'V0990' WHERE LEGACY_VENDOR_ID = 'WINOLICE' AND DATA_FOLDER_ID = 'sampl'</v>
      </c>
      <c r="F972" t="str">
        <f t="shared" si="46"/>
        <v>Changed</v>
      </c>
      <c r="G972" t="str">
        <f t="shared" si="47"/>
        <v>-</v>
      </c>
    </row>
    <row r="973" spans="1:7" x14ac:dyDescent="0.25">
      <c r="A973" s="2" t="s">
        <v>1</v>
      </c>
      <c r="B973" s="9" t="s">
        <v>1010</v>
      </c>
      <c r="C973" t="s">
        <v>2008</v>
      </c>
      <c r="D973" s="5" t="s">
        <v>3010</v>
      </c>
      <c r="E973" t="str">
        <f t="shared" si="45"/>
        <v>UPDATE [MAP].[T_TRANS_VENDOR] SET NEW_VENDOR_ID = 'V0991' WHERE LEGACY_VENDOR_ID = 'WITMER' AND DATA_FOLDER_ID = 'sampl'</v>
      </c>
      <c r="F973" t="str">
        <f t="shared" si="46"/>
        <v>Changed</v>
      </c>
      <c r="G973" t="str">
        <f t="shared" si="47"/>
        <v>-</v>
      </c>
    </row>
    <row r="974" spans="1:7" x14ac:dyDescent="0.25">
      <c r="A974" s="2" t="s">
        <v>1</v>
      </c>
      <c r="B974" s="9" t="s">
        <v>1011</v>
      </c>
      <c r="C974" t="s">
        <v>2009</v>
      </c>
      <c r="D974" s="5" t="s">
        <v>3011</v>
      </c>
      <c r="E974" t="str">
        <f t="shared" si="45"/>
        <v>UPDATE [MAP].[T_TRANS_VENDOR] SET NEW_VENDOR_ID = 'V0992' WHERE LEGACY_VENDOR_ID = 'WKLARCHI' AND DATA_FOLDER_ID = 'sampl'</v>
      </c>
      <c r="F974" t="str">
        <f t="shared" si="46"/>
        <v>Changed</v>
      </c>
      <c r="G974" t="str">
        <f t="shared" si="47"/>
        <v>-</v>
      </c>
    </row>
    <row r="975" spans="1:7" x14ac:dyDescent="0.25">
      <c r="A975" s="2" t="s">
        <v>1</v>
      </c>
      <c r="B975" s="9" t="s">
        <v>1012</v>
      </c>
      <c r="C975" t="s">
        <v>2010</v>
      </c>
      <c r="D975" s="5" t="s">
        <v>3012</v>
      </c>
      <c r="E975" t="str">
        <f t="shared" ref="E975:E1005" si="48">"UPDATE "&amp;$E$3&amp;" SET NEW_VENDOR_ID = '"&amp;D975&amp;"' WHERE LEGACY_VENDOR_ID = '"&amp;B975&amp;"' AND DATA_FOLDER_ID = '"&amp;$A975&amp;"'"</f>
        <v>UPDATE [MAP].[T_TRANS_VENDOR] SET NEW_VENDOR_ID = 'V0993' WHERE LEGACY_VENDOR_ID = 'WMORRSON' AND DATA_FOLDER_ID = 'sampl'</v>
      </c>
      <c r="F975" t="str">
        <f t="shared" ref="F975:F1005" si="49">IF(B975&lt;&gt;D975,"Changed","-")</f>
        <v>Changed</v>
      </c>
      <c r="G975" t="str">
        <f t="shared" ref="G975:G1005" si="50">IF(B975="","Hide","-")</f>
        <v>-</v>
      </c>
    </row>
    <row r="976" spans="1:7" x14ac:dyDescent="0.25">
      <c r="A976" s="2" t="s">
        <v>1</v>
      </c>
      <c r="B976" s="9" t="s">
        <v>1013</v>
      </c>
      <c r="C976" t="s">
        <v>2011</v>
      </c>
      <c r="D976" s="5" t="s">
        <v>3013</v>
      </c>
      <c r="E976" t="str">
        <f t="shared" si="48"/>
        <v>UPDATE [MAP].[T_TRANS_VENDOR] SET NEW_VENDOR_ID = 'V0994' WHERE LEGACY_VENDOR_ID = 'WOGRUBB1' AND DATA_FOLDER_ID = 'sampl'</v>
      </c>
      <c r="F976" t="str">
        <f t="shared" si="49"/>
        <v>Changed</v>
      </c>
      <c r="G976" t="str">
        <f t="shared" si="50"/>
        <v>-</v>
      </c>
    </row>
    <row r="977" spans="1:7" x14ac:dyDescent="0.25">
      <c r="A977" s="2" t="s">
        <v>1</v>
      </c>
      <c r="B977" s="9" t="s">
        <v>1014</v>
      </c>
      <c r="C977" t="s">
        <v>2012</v>
      </c>
      <c r="D977" s="5" t="s">
        <v>3014</v>
      </c>
      <c r="E977" t="str">
        <f t="shared" si="48"/>
        <v>UPDATE [MAP].[T_TRANS_VENDOR] SET NEW_VENDOR_ID = 'V0995' WHERE LEGACY_VENDOR_ID = 'WOLKLAND' AND DATA_FOLDER_ID = 'sampl'</v>
      </c>
      <c r="F977" t="str">
        <f t="shared" si="49"/>
        <v>Changed</v>
      </c>
      <c r="G977" t="str">
        <f t="shared" si="50"/>
        <v>-</v>
      </c>
    </row>
    <row r="978" spans="1:7" x14ac:dyDescent="0.25">
      <c r="A978" s="2" t="s">
        <v>1</v>
      </c>
      <c r="B978" s="9" t="s">
        <v>1015</v>
      </c>
      <c r="C978" t="s">
        <v>2013</v>
      </c>
      <c r="D978" s="5" t="s">
        <v>3015</v>
      </c>
      <c r="E978" t="str">
        <f t="shared" si="48"/>
        <v>UPDATE [MAP].[T_TRANS_VENDOR] SET NEW_VENDOR_ID = 'V0996' WHERE LEGACY_VENDOR_ID = 'WOMANRES' AND DATA_FOLDER_ID = 'sampl'</v>
      </c>
      <c r="F978" t="str">
        <f t="shared" si="49"/>
        <v>Changed</v>
      </c>
      <c r="G978" t="str">
        <f t="shared" si="50"/>
        <v>-</v>
      </c>
    </row>
    <row r="979" spans="1:7" x14ac:dyDescent="0.25">
      <c r="A979" s="2" t="s">
        <v>1</v>
      </c>
      <c r="B979" s="9" t="s">
        <v>1016</v>
      </c>
      <c r="C979" t="s">
        <v>2014</v>
      </c>
      <c r="D979" s="5" t="s">
        <v>3016</v>
      </c>
      <c r="E979" t="str">
        <f t="shared" si="48"/>
        <v>UPDATE [MAP].[T_TRANS_VENDOR] SET NEW_VENDOR_ID = 'V0997' WHERE LEGACY_VENDOR_ID = 'WONDOORC' AND DATA_FOLDER_ID = 'sampl'</v>
      </c>
      <c r="F979" t="str">
        <f t="shared" si="49"/>
        <v>Changed</v>
      </c>
      <c r="G979" t="str">
        <f t="shared" si="50"/>
        <v>-</v>
      </c>
    </row>
    <row r="980" spans="1:7" x14ac:dyDescent="0.25">
      <c r="A980" s="2" t="s">
        <v>1</v>
      </c>
      <c r="B980" s="9" t="s">
        <v>1017</v>
      </c>
      <c r="C980" t="s">
        <v>2015</v>
      </c>
      <c r="D980" s="5" t="s">
        <v>3017</v>
      </c>
      <c r="E980" t="str">
        <f t="shared" si="48"/>
        <v>UPDATE [MAP].[T_TRANS_VENDOR] SET NEW_VENDOR_ID = 'V0998' WHERE LEGACY_VENDOR_ID = 'WORKSAFE' AND DATA_FOLDER_ID = 'sampl'</v>
      </c>
      <c r="F980" t="str">
        <f t="shared" si="49"/>
        <v>Changed</v>
      </c>
      <c r="G980" t="str">
        <f t="shared" si="50"/>
        <v>-</v>
      </c>
    </row>
    <row r="981" spans="1:7" x14ac:dyDescent="0.25">
      <c r="A981" s="2" t="s">
        <v>1</v>
      </c>
      <c r="B981" s="9" t="s">
        <v>1018</v>
      </c>
      <c r="C981" t="s">
        <v>2016</v>
      </c>
      <c r="D981" s="5" t="s">
        <v>3018</v>
      </c>
      <c r="E981" t="str">
        <f t="shared" si="48"/>
        <v>UPDATE [MAP].[T_TRANS_VENDOR] SET NEW_VENDOR_ID = 'V0999' WHERE LEGACY_VENDOR_ID = 'WORTHCOM' AND DATA_FOLDER_ID = 'sampl'</v>
      </c>
      <c r="F981" t="str">
        <f t="shared" si="49"/>
        <v>Changed</v>
      </c>
      <c r="G981" t="str">
        <f t="shared" si="50"/>
        <v>-</v>
      </c>
    </row>
    <row r="982" spans="1:7" x14ac:dyDescent="0.25">
      <c r="A982" s="2" t="s">
        <v>1</v>
      </c>
      <c r="B982" s="9" t="s">
        <v>1019</v>
      </c>
      <c r="C982" t="s">
        <v>2017</v>
      </c>
      <c r="D982" s="5" t="s">
        <v>3019</v>
      </c>
      <c r="E982" t="str">
        <f t="shared" si="48"/>
        <v>UPDATE [MAP].[T_TRANS_VENDOR] SET NEW_VENDOR_ID = 'V1000' WHERE LEGACY_VENDOR_ID = 'WVSTATETAX' AND DATA_FOLDER_ID = 'sampl'</v>
      </c>
      <c r="F982" t="str">
        <f t="shared" si="49"/>
        <v>Changed</v>
      </c>
      <c r="G982" t="str">
        <f t="shared" si="50"/>
        <v>-</v>
      </c>
    </row>
    <row r="983" spans="1:7" x14ac:dyDescent="0.25">
      <c r="A983" s="2" t="s">
        <v>1</v>
      </c>
      <c r="B983" s="9" t="s">
        <v>1020</v>
      </c>
      <c r="C983" t="s">
        <v>2018</v>
      </c>
      <c r="D983" s="5" t="s">
        <v>3020</v>
      </c>
      <c r="E983" t="str">
        <f t="shared" si="48"/>
        <v>UPDATE [MAP].[T_TRANS_VENDOR] SET NEW_VENDOR_ID = 'V1001' WHERE LEGACY_VENDOR_ID = 'XPRESSCR' AND DATA_FOLDER_ID = 'sampl'</v>
      </c>
      <c r="F983" t="str">
        <f t="shared" si="49"/>
        <v>Changed</v>
      </c>
      <c r="G983" t="str">
        <f t="shared" si="50"/>
        <v>-</v>
      </c>
    </row>
    <row r="984" spans="1:7" x14ac:dyDescent="0.25">
      <c r="A984" s="2" t="s">
        <v>1</v>
      </c>
      <c r="B984" s="9" t="s">
        <v>1021</v>
      </c>
      <c r="C984" t="s">
        <v>2019</v>
      </c>
      <c r="D984" s="5" t="s">
        <v>3021</v>
      </c>
      <c r="E984" t="str">
        <f t="shared" si="48"/>
        <v>UPDATE [MAP].[T_TRANS_VENDOR] SET NEW_VENDOR_ID = 'V1002' WHERE LEGACY_VENDOR_ID = 'YALEELEC' AND DATA_FOLDER_ID = 'sampl'</v>
      </c>
      <c r="F984" t="str">
        <f t="shared" si="49"/>
        <v>Changed</v>
      </c>
      <c r="G984" t="str">
        <f t="shared" si="50"/>
        <v>-</v>
      </c>
    </row>
    <row r="985" spans="1:7" x14ac:dyDescent="0.25">
      <c r="A985" s="2" t="s">
        <v>1</v>
      </c>
      <c r="B985" s="9" t="s">
        <v>1022</v>
      </c>
      <c r="C985" t="s">
        <v>2020</v>
      </c>
      <c r="D985" s="5" t="s">
        <v>3022</v>
      </c>
      <c r="E985" t="str">
        <f t="shared" si="48"/>
        <v>UPDATE [MAP].[T_TRANS_VENDOR] SET NEW_VENDOR_ID = 'V1003' WHERE LEGACY_VENDOR_ID = 'YODER&amp;SONS' AND DATA_FOLDER_ID = 'sampl'</v>
      </c>
      <c r="F985" t="str">
        <f t="shared" si="49"/>
        <v>Changed</v>
      </c>
      <c r="G985" t="str">
        <f t="shared" si="50"/>
        <v>-</v>
      </c>
    </row>
    <row r="986" spans="1:7" x14ac:dyDescent="0.25">
      <c r="A986" s="2" t="s">
        <v>1</v>
      </c>
      <c r="B986" s="9" t="s">
        <v>1023</v>
      </c>
      <c r="C986" t="s">
        <v>2021</v>
      </c>
      <c r="D986" s="5" t="s">
        <v>3023</v>
      </c>
      <c r="E986" t="str">
        <f t="shared" si="48"/>
        <v>UPDATE [MAP].[T_TRANS_VENDOR] SET NEW_VENDOR_ID = 'V1004' WHERE LEGACY_VENDOR_ID = 'ZACKPAIN' AND DATA_FOLDER_ID = 'sampl'</v>
      </c>
      <c r="F986" t="str">
        <f t="shared" si="49"/>
        <v>Changed</v>
      </c>
      <c r="G986" t="str">
        <f t="shared" si="50"/>
        <v>-</v>
      </c>
    </row>
    <row r="987" spans="1:7" x14ac:dyDescent="0.25">
      <c r="A987" s="2" t="s">
        <v>1</v>
      </c>
      <c r="B987" s="9" t="s">
        <v>1024</v>
      </c>
      <c r="C987" t="s">
        <v>2022</v>
      </c>
      <c r="D987" s="5" t="s">
        <v>3024</v>
      </c>
      <c r="E987" t="str">
        <f t="shared" si="48"/>
        <v>UPDATE [MAP].[T_TRANS_VENDOR] SET NEW_VENDOR_ID = 'V1025' WHERE LEGACY_VENDOR_ID = 'BRANDSAF' AND DATA_FOLDER_ID = 'sampl'</v>
      </c>
      <c r="F987" t="str">
        <f t="shared" si="49"/>
        <v>Changed</v>
      </c>
      <c r="G987" t="str">
        <f t="shared" si="50"/>
        <v>-</v>
      </c>
    </row>
    <row r="988" spans="1:7" x14ac:dyDescent="0.25">
      <c r="A988" s="2" t="s">
        <v>1</v>
      </c>
      <c r="B988" s="9" t="s">
        <v>1025</v>
      </c>
      <c r="C988" t="s">
        <v>2023</v>
      </c>
      <c r="D988" s="5" t="s">
        <v>3025</v>
      </c>
      <c r="E988" t="str">
        <f t="shared" si="48"/>
        <v>UPDATE [MAP].[T_TRANS_VENDOR] SET NEW_VENDOR_ID = 'V1026' WHERE LEGACY_VENDOR_ID = 'CORECELL' AND DATA_FOLDER_ID = 'sampl'</v>
      </c>
      <c r="F988" t="str">
        <f t="shared" si="49"/>
        <v>Changed</v>
      </c>
      <c r="G988" t="str">
        <f t="shared" si="50"/>
        <v>-</v>
      </c>
    </row>
    <row r="989" spans="1:7" x14ac:dyDescent="0.25">
      <c r="A989" s="2" t="s">
        <v>1</v>
      </c>
      <c r="B989" s="9" t="s">
        <v>1026</v>
      </c>
      <c r="C989" t="s">
        <v>2024</v>
      </c>
      <c r="D989" s="5" t="s">
        <v>3026</v>
      </c>
      <c r="E989" t="str">
        <f t="shared" si="48"/>
        <v>UPDATE [MAP].[T_TRANS_VENDOR] SET NEW_VENDOR_ID = 'V1027' WHERE LEGACY_VENDOR_ID = 'DESIGNBL' AND DATA_FOLDER_ID = 'sampl'</v>
      </c>
      <c r="F989" t="str">
        <f t="shared" si="49"/>
        <v>Changed</v>
      </c>
      <c r="G989" t="str">
        <f t="shared" si="50"/>
        <v>-</v>
      </c>
    </row>
    <row r="990" spans="1:7" x14ac:dyDescent="0.25">
      <c r="A990" s="2" t="s">
        <v>1</v>
      </c>
      <c r="B990" s="9" t="s">
        <v>1027</v>
      </c>
      <c r="C990" t="s">
        <v>2025</v>
      </c>
      <c r="D990" s="5" t="s">
        <v>3027</v>
      </c>
      <c r="E990" t="str">
        <f t="shared" si="48"/>
        <v>UPDATE [MAP].[T_TRANS_VENDOR] SET NEW_VENDOR_ID = 'V1028' WHERE LEGACY_VENDOR_ID = 'DURABLED' AND DATA_FOLDER_ID = 'sampl'</v>
      </c>
      <c r="F990" t="str">
        <f t="shared" si="49"/>
        <v>Changed</v>
      </c>
      <c r="G990" t="str">
        <f t="shared" si="50"/>
        <v>-</v>
      </c>
    </row>
    <row r="991" spans="1:7" x14ac:dyDescent="0.25">
      <c r="A991" s="2" t="s">
        <v>1</v>
      </c>
      <c r="B991" s="9" t="s">
        <v>1028</v>
      </c>
      <c r="C991" t="s">
        <v>2026</v>
      </c>
      <c r="D991" s="5" t="s">
        <v>3028</v>
      </c>
      <c r="E991" t="str">
        <f t="shared" si="48"/>
        <v>UPDATE [MAP].[T_TRANS_VENDOR] SET NEW_VENDOR_ID = 'V1029' WHERE LEGACY_VENDOR_ID = 'GRIDSTEE' AND DATA_FOLDER_ID = 'sampl'</v>
      </c>
      <c r="F991" t="str">
        <f t="shared" si="49"/>
        <v>Changed</v>
      </c>
      <c r="G991" t="str">
        <f t="shared" si="50"/>
        <v>-</v>
      </c>
    </row>
    <row r="992" spans="1:7" x14ac:dyDescent="0.25">
      <c r="A992" s="2" t="s">
        <v>1</v>
      </c>
      <c r="B992" s="9" t="s">
        <v>1029</v>
      </c>
      <c r="C992" t="s">
        <v>2027</v>
      </c>
      <c r="D992" s="5" t="s">
        <v>3029</v>
      </c>
      <c r="E992" t="str">
        <f t="shared" si="48"/>
        <v>UPDATE [MAP].[T_TRANS_VENDOR] SET NEW_VENDOR_ID = 'V1030' WHERE LEGACY_VENDOR_ID = 'IRAGSTEF' AND DATA_FOLDER_ID = 'sampl'</v>
      </c>
      <c r="F992" t="str">
        <f t="shared" si="49"/>
        <v>Changed</v>
      </c>
      <c r="G992" t="str">
        <f t="shared" si="50"/>
        <v>-</v>
      </c>
    </row>
    <row r="993" spans="1:7" x14ac:dyDescent="0.25">
      <c r="A993" s="2" t="s">
        <v>1</v>
      </c>
      <c r="B993" s="9" t="s">
        <v>1030</v>
      </c>
      <c r="C993" t="s">
        <v>2028</v>
      </c>
      <c r="D993" s="5" t="s">
        <v>3030</v>
      </c>
      <c r="E993" t="str">
        <f t="shared" si="48"/>
        <v>UPDATE [MAP].[T_TRANS_VENDOR] SET NEW_VENDOR_ID = 'V1031' WHERE LEGACY_VENDOR_ID = 'SIGNSAFE' AND DATA_FOLDER_ID = 'sampl'</v>
      </c>
      <c r="F993" t="str">
        <f t="shared" si="49"/>
        <v>Changed</v>
      </c>
      <c r="G993" t="str">
        <f t="shared" si="50"/>
        <v>-</v>
      </c>
    </row>
    <row r="994" spans="1:7" x14ac:dyDescent="0.25">
      <c r="A994" s="2" t="s">
        <v>1</v>
      </c>
      <c r="B994" s="9" t="s">
        <v>1031</v>
      </c>
      <c r="C994" t="s">
        <v>2029</v>
      </c>
      <c r="D994" s="5" t="s">
        <v>3031</v>
      </c>
      <c r="E994" t="str">
        <f t="shared" si="48"/>
        <v>UPDATE [MAP].[T_TRANS_VENDOR] SET NEW_VENDOR_ID = 'V1032' WHERE LEGACY_VENDOR_ID = 'AMERIGL' AND DATA_FOLDER_ID = 'sampl'</v>
      </c>
      <c r="F994" t="str">
        <f t="shared" si="49"/>
        <v>Changed</v>
      </c>
      <c r="G994" t="str">
        <f t="shared" si="50"/>
        <v>-</v>
      </c>
    </row>
    <row r="995" spans="1:7" x14ac:dyDescent="0.25">
      <c r="A995" s="2" t="s">
        <v>1</v>
      </c>
      <c r="B995" s="9" t="s">
        <v>1032</v>
      </c>
      <c r="C995" t="s">
        <v>2030</v>
      </c>
      <c r="D995" s="5" t="s">
        <v>3032</v>
      </c>
      <c r="E995" t="str">
        <f t="shared" si="48"/>
        <v>UPDATE [MAP].[T_TRANS_VENDOR] SET NEW_VENDOR_ID = 'V1033' WHERE LEGACY_VENDOR_ID = 'BRDAEXCA' AND DATA_FOLDER_ID = 'sampl'</v>
      </c>
      <c r="F995" t="str">
        <f t="shared" si="49"/>
        <v>Changed</v>
      </c>
      <c r="G995" t="str">
        <f t="shared" si="50"/>
        <v>-</v>
      </c>
    </row>
    <row r="996" spans="1:7" x14ac:dyDescent="0.25">
      <c r="A996" s="2" t="s">
        <v>1</v>
      </c>
      <c r="B996" s="9" t="s">
        <v>1033</v>
      </c>
      <c r="C996" t="s">
        <v>2031</v>
      </c>
      <c r="D996" s="5" t="s">
        <v>3033</v>
      </c>
      <c r="E996" t="str">
        <f t="shared" si="48"/>
        <v>UPDATE [MAP].[T_TRANS_VENDOR] SET NEW_VENDOR_ID = 'V1034' WHERE LEGACY_VENDOR_ID = 'GENEMETS' AND DATA_FOLDER_ID = 'sampl'</v>
      </c>
      <c r="F996" t="str">
        <f t="shared" si="49"/>
        <v>Changed</v>
      </c>
      <c r="G996" t="str">
        <f t="shared" si="50"/>
        <v>-</v>
      </c>
    </row>
    <row r="997" spans="1:7" x14ac:dyDescent="0.25">
      <c r="A997" s="2" t="s">
        <v>1</v>
      </c>
      <c r="B997" s="9" t="s">
        <v>1034</v>
      </c>
      <c r="C997" t="s">
        <v>2032</v>
      </c>
      <c r="D997" s="5" t="s">
        <v>3034</v>
      </c>
      <c r="E997" t="str">
        <f t="shared" si="48"/>
        <v>UPDATE [MAP].[T_TRANS_VENDOR] SET NEW_VENDOR_ID = 'V1035' WHERE LEGACY_VENDOR_ID = 'MORRISBL' AND DATA_FOLDER_ID = 'sampl'</v>
      </c>
      <c r="F997" t="str">
        <f t="shared" si="49"/>
        <v>Changed</v>
      </c>
      <c r="G997" t="str">
        <f t="shared" si="50"/>
        <v>-</v>
      </c>
    </row>
    <row r="998" spans="1:7" x14ac:dyDescent="0.25">
      <c r="A998" s="2" t="s">
        <v>1</v>
      </c>
      <c r="B998" s="9" t="s">
        <v>1035</v>
      </c>
      <c r="C998" t="s">
        <v>2033</v>
      </c>
      <c r="D998" s="5" t="s">
        <v>3035</v>
      </c>
      <c r="E998" t="str">
        <f t="shared" si="48"/>
        <v>UPDATE [MAP].[T_TRANS_VENDOR] SET NEW_VENDOR_ID = 'V1036' WHERE LEGACY_VENDOR_ID = 'PULMANIN' AND DATA_FOLDER_ID = 'sampl'</v>
      </c>
      <c r="F998" t="str">
        <f t="shared" si="49"/>
        <v>Changed</v>
      </c>
      <c r="G998" t="str">
        <f t="shared" si="50"/>
        <v>-</v>
      </c>
    </row>
    <row r="999" spans="1:7" x14ac:dyDescent="0.25">
      <c r="A999" s="2" t="s">
        <v>1</v>
      </c>
      <c r="B999" s="9" t="s">
        <v>1036</v>
      </c>
      <c r="C999" t="s">
        <v>2034</v>
      </c>
      <c r="D999" s="5" t="s">
        <v>3036</v>
      </c>
      <c r="E999" t="str">
        <f t="shared" si="48"/>
        <v>UPDATE [MAP].[T_TRANS_VENDOR] SET NEW_VENDOR_ID = 'V1037' WHERE LEGACY_VENDOR_ID = 'SIMRELLMED' AND DATA_FOLDER_ID = 'sampl'</v>
      </c>
      <c r="F999" t="str">
        <f t="shared" si="49"/>
        <v>Changed</v>
      </c>
      <c r="G999" t="str">
        <f t="shared" si="50"/>
        <v>-</v>
      </c>
    </row>
    <row r="1000" spans="1:7" x14ac:dyDescent="0.25">
      <c r="A1000" s="2" t="s">
        <v>1</v>
      </c>
      <c r="B1000" s="9" t="s">
        <v>1037</v>
      </c>
      <c r="C1000" t="s">
        <v>2035</v>
      </c>
      <c r="D1000" s="5" t="s">
        <v>3037</v>
      </c>
      <c r="E1000" t="str">
        <f t="shared" si="48"/>
        <v>UPDATE [MAP].[T_TRANS_VENDOR] SET NEW_VENDOR_ID = 'V1038' WHERE LEGACY_VENDOR_ID = 'THYSSENK' AND DATA_FOLDER_ID = 'sampl'</v>
      </c>
      <c r="F1000" t="str">
        <f t="shared" si="49"/>
        <v>Changed</v>
      </c>
      <c r="G1000" t="str">
        <f t="shared" si="50"/>
        <v>-</v>
      </c>
    </row>
    <row r="1001" spans="1:7" x14ac:dyDescent="0.25">
      <c r="A1001" s="2" t="s">
        <v>1</v>
      </c>
      <c r="B1001" s="9" t="s">
        <v>1038</v>
      </c>
      <c r="C1001" t="s">
        <v>2036</v>
      </c>
      <c r="D1001" s="5" t="s">
        <v>3038</v>
      </c>
      <c r="E1001" t="str">
        <f t="shared" si="48"/>
        <v>UPDATE [MAP].[T_TRANS_VENDOR] SET NEW_VENDOR_ID = 'V1039' WHERE LEGACY_VENDOR_ID = 'UNITMODU' AND DATA_FOLDER_ID = 'sampl'</v>
      </c>
      <c r="F1001" t="str">
        <f t="shared" si="49"/>
        <v>Changed</v>
      </c>
      <c r="G1001" t="str">
        <f t="shared" si="50"/>
        <v>-</v>
      </c>
    </row>
    <row r="1002" spans="1:7" x14ac:dyDescent="0.25">
      <c r="A1002" s="2" t="s">
        <v>1</v>
      </c>
      <c r="B1002" s="9" t="s">
        <v>1039</v>
      </c>
      <c r="C1002" t="s">
        <v>2037</v>
      </c>
      <c r="D1002" s="5" t="s">
        <v>3039</v>
      </c>
      <c r="E1002" t="str">
        <f t="shared" si="48"/>
        <v>UPDATE [MAP].[T_TRANS_VENDOR] SET NEW_VENDOR_ID = 'V1040' WHERE LEGACY_VENDOR_ID = 'WILMSCHU' AND DATA_FOLDER_ID = 'sampl'</v>
      </c>
      <c r="F1002" t="str">
        <f t="shared" si="49"/>
        <v>Changed</v>
      </c>
      <c r="G1002" t="str">
        <f t="shared" si="50"/>
        <v>-</v>
      </c>
    </row>
    <row r="1003" spans="1:7" x14ac:dyDescent="0.25">
      <c r="A1003" s="2" t="s">
        <v>1</v>
      </c>
      <c r="B1003" s="9" t="s">
        <v>1040</v>
      </c>
      <c r="C1003" t="s">
        <v>2038</v>
      </c>
      <c r="D1003" s="5" t="s">
        <v>3040</v>
      </c>
      <c r="E1003" t="str">
        <f t="shared" si="48"/>
        <v>UPDATE [MAP].[T_TRANS_VENDOR] SET NEW_VENDOR_ID = 'V1041' WHERE LEGACY_VENDOR_ID = '2018TABLER' AND DATA_FOLDER_ID = 'sampl'</v>
      </c>
      <c r="F1003" t="str">
        <f t="shared" si="49"/>
        <v>Changed</v>
      </c>
      <c r="G1003" t="str">
        <f t="shared" si="50"/>
        <v>-</v>
      </c>
    </row>
    <row r="1004" spans="1:7" x14ac:dyDescent="0.25">
      <c r="A1004" s="2" t="s">
        <v>1</v>
      </c>
      <c r="B1004" s="9" t="s">
        <v>1041</v>
      </c>
      <c r="C1004" t="s">
        <v>2039</v>
      </c>
      <c r="D1004" s="5" t="s">
        <v>3041</v>
      </c>
      <c r="E1004" t="str">
        <f t="shared" si="48"/>
        <v>UPDATE [MAP].[T_TRANS_VENDOR] SET NEW_VENDOR_ID = 'V1042' WHERE LEGACY_VENDOR_ID = 'CONEMANU' AND DATA_FOLDER_ID = 'sampl'</v>
      </c>
      <c r="F1004" t="str">
        <f t="shared" si="49"/>
        <v>Changed</v>
      </c>
      <c r="G1004" t="str">
        <f t="shared" si="50"/>
        <v>-</v>
      </c>
    </row>
    <row r="1005" spans="1:7" x14ac:dyDescent="0.25">
      <c r="A1005" s="2" t="s">
        <v>1</v>
      </c>
      <c r="B1005" s="9" t="s">
        <v>1042</v>
      </c>
      <c r="C1005" t="s">
        <v>2040</v>
      </c>
      <c r="D1005" s="5" t="s">
        <v>3042</v>
      </c>
      <c r="E1005" t="str">
        <f t="shared" si="48"/>
        <v>UPDATE [MAP].[T_TRANS_VENDOR] SET NEW_VENDOR_ID = 'V1043' WHERE LEGACY_VENDOR_ID = 'ABSTEEL' AND DATA_FOLDER_ID = 'sampl'</v>
      </c>
      <c r="F1005" t="str">
        <f t="shared" si="49"/>
        <v>Changed</v>
      </c>
      <c r="G1005" t="str">
        <f t="shared" si="50"/>
        <v>-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3B43B-F286-40A6-BEAE-69C7C782378B}">
  <dimension ref="A1:G126"/>
  <sheetViews>
    <sheetView zoomScale="130" zoomScaleNormal="13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.7109375" style="2" bestFit="1" customWidth="1"/>
    <col min="2" max="2" width="12.42578125" style="9" bestFit="1" customWidth="1"/>
    <col min="3" max="3" width="25.28515625" customWidth="1"/>
    <col min="4" max="4" width="24.85546875" style="5" bestFit="1" customWidth="1"/>
    <col min="5" max="5" width="33.5703125" customWidth="1"/>
    <col min="6" max="6" width="8.28515625" bestFit="1" customWidth="1"/>
    <col min="7" max="7" width="10" customWidth="1"/>
  </cols>
  <sheetData>
    <row r="1" spans="1:7" x14ac:dyDescent="0.25">
      <c r="A1" s="20" t="str">
        <f>"Legacy ERP: "&amp;Controls!$B$2</f>
        <v>Legacy ERP: Sage 300 CRE</v>
      </c>
      <c r="B1" s="20"/>
      <c r="C1" s="20"/>
      <c r="D1" s="3" t="str">
        <f>"New ERP: "&amp;Controls!$B$3</f>
        <v>New ERP: Sage Intacct</v>
      </c>
    </row>
    <row r="2" spans="1:7" ht="4.9000000000000004" customHeight="1" x14ac:dyDescent="0.25">
      <c r="D2" s="2"/>
    </row>
    <row r="3" spans="1:7" x14ac:dyDescent="0.25">
      <c r="A3" s="8" t="s">
        <v>7</v>
      </c>
      <c r="B3" s="8" t="s">
        <v>3046</v>
      </c>
      <c r="C3" s="8" t="s">
        <v>4237</v>
      </c>
      <c r="D3" s="8" t="s">
        <v>3046</v>
      </c>
      <c r="E3" s="15" t="s">
        <v>3045</v>
      </c>
      <c r="F3" s="16" t="s">
        <v>12</v>
      </c>
      <c r="G3" s="16" t="s">
        <v>2</v>
      </c>
    </row>
    <row r="4" spans="1:7" x14ac:dyDescent="0.25">
      <c r="A4" s="2" t="s">
        <v>1</v>
      </c>
      <c r="B4" s="10" t="s">
        <v>3047</v>
      </c>
      <c r="C4" t="s">
        <v>1043</v>
      </c>
      <c r="D4" s="5" t="s">
        <v>3156</v>
      </c>
      <c r="E4" t="str">
        <f>"UPDATE "&amp;$E$3&amp;" SET NEW_CUSTOMER_ID = '"&amp;D4&amp;"' WHERE LEGACY_CUSTOMER_ID = '"&amp;B4&amp;"' AND DATA_FOLDER_ID = '"&amp;$A4&amp;"'"</f>
        <v>UPDATE [MAP].[T_TRANS_CUSTOMER] SET NEW_CUSTOMER_ID = 'C0001' WHERE LEGACY_CUSTOMER_ID = '330Monta' AND DATA_FOLDER_ID = 'sampl'</v>
      </c>
      <c r="F4" t="str">
        <f>IF(B4&lt;&gt;D4,"Changed","-")</f>
        <v>Changed</v>
      </c>
      <c r="G4" t="str">
        <f>IF(B4="","Hide","-")</f>
        <v>-</v>
      </c>
    </row>
    <row r="5" spans="1:7" x14ac:dyDescent="0.25">
      <c r="A5" s="2" t="s">
        <v>1</v>
      </c>
      <c r="B5" s="10" t="s">
        <v>3048</v>
      </c>
      <c r="C5" t="s">
        <v>3279</v>
      </c>
      <c r="D5" s="5" t="s">
        <v>3157</v>
      </c>
      <c r="E5" t="str">
        <f t="shared" ref="E5:E68" si="0">"UPDATE "&amp;$E$3&amp;" SET NEW_CUSTOMER_ID = '"&amp;D5&amp;"' WHERE LEGACY_CUSTOMER_ID = '"&amp;B5&amp;"' AND DATA_FOLDER_ID = '"&amp;$A5&amp;"'"</f>
        <v>UPDATE [MAP].[T_TRANS_CUSTOMER] SET NEW_CUSTOMER_ID = 'C0002' WHERE LEGACY_CUSTOMER_ID = 'ADAPTIMM' AND DATA_FOLDER_ID = 'sampl'</v>
      </c>
      <c r="F5" t="str">
        <f t="shared" ref="F5:F68" si="1">IF(B5&lt;&gt;D5,"Changed","-")</f>
        <v>Changed</v>
      </c>
      <c r="G5" t="str">
        <f t="shared" ref="G5:G68" si="2">IF(B5="","Hide","-")</f>
        <v>-</v>
      </c>
    </row>
    <row r="6" spans="1:7" x14ac:dyDescent="0.25">
      <c r="A6" s="2" t="s">
        <v>1</v>
      </c>
      <c r="B6" s="9" t="s">
        <v>3049</v>
      </c>
      <c r="C6" t="s">
        <v>3280</v>
      </c>
      <c r="D6" s="5" t="s">
        <v>3158</v>
      </c>
      <c r="E6" t="str">
        <f t="shared" si="0"/>
        <v>UPDATE [MAP].[T_TRANS_CUSTOMER] SET NEW_CUSTOMER_ID = 'C0003' WHERE LEGACY_CUSTOMER_ID = 'ALTASCIE' AND DATA_FOLDER_ID = 'sampl'</v>
      </c>
      <c r="F6" t="str">
        <f t="shared" si="1"/>
        <v>Changed</v>
      </c>
      <c r="G6" t="str">
        <f t="shared" si="2"/>
        <v>-</v>
      </c>
    </row>
    <row r="7" spans="1:7" x14ac:dyDescent="0.25">
      <c r="A7" s="2" t="s">
        <v>1</v>
      </c>
      <c r="B7" s="9" t="s">
        <v>3050</v>
      </c>
      <c r="C7" t="s">
        <v>3281</v>
      </c>
      <c r="D7" s="5" t="s">
        <v>3159</v>
      </c>
      <c r="E7" t="str">
        <f t="shared" si="0"/>
        <v>UPDATE [MAP].[T_TRANS_CUSTOMER] SET NEW_CUSTOMER_ID = 'C0004' WHERE LEGACY_CUSTOMER_ID = 'AMERICAN' AND DATA_FOLDER_ID = 'sampl'</v>
      </c>
      <c r="F7" t="str">
        <f t="shared" si="1"/>
        <v>Changed</v>
      </c>
      <c r="G7" t="str">
        <f t="shared" si="2"/>
        <v>-</v>
      </c>
    </row>
    <row r="8" spans="1:7" x14ac:dyDescent="0.25">
      <c r="A8" s="2" t="s">
        <v>1</v>
      </c>
      <c r="B8" s="9" t="s">
        <v>114</v>
      </c>
      <c r="C8" t="s">
        <v>3282</v>
      </c>
      <c r="D8" s="5" t="s">
        <v>3160</v>
      </c>
      <c r="E8" t="str">
        <f t="shared" si="0"/>
        <v>UPDATE [MAP].[T_TRANS_CUSTOMER] SET NEW_CUSTOMER_ID = 'C0005' WHERE LEGACY_CUSTOMER_ID = 'AUTOTECH' AND DATA_FOLDER_ID = 'sampl'</v>
      </c>
      <c r="F8" t="str">
        <f t="shared" si="1"/>
        <v>Changed</v>
      </c>
      <c r="G8" t="str">
        <f t="shared" si="2"/>
        <v>-</v>
      </c>
    </row>
    <row r="9" spans="1:7" x14ac:dyDescent="0.25">
      <c r="A9" s="2" t="s">
        <v>1</v>
      </c>
      <c r="B9" s="9" t="s">
        <v>3051</v>
      </c>
      <c r="C9" t="s">
        <v>3283</v>
      </c>
      <c r="D9" s="5" t="s">
        <v>3161</v>
      </c>
      <c r="E9" t="str">
        <f t="shared" si="0"/>
        <v>UPDATE [MAP].[T_TRANS_CUSTOMER] SET NEW_CUSTOMER_ID = 'C0006' WHERE LEGACY_CUSTOMER_ID = 'AVPQTA00' AND DATA_FOLDER_ID = 'sampl'</v>
      </c>
      <c r="F9" t="str">
        <f t="shared" si="1"/>
        <v>Changed</v>
      </c>
      <c r="G9" t="str">
        <f t="shared" si="2"/>
        <v>-</v>
      </c>
    </row>
    <row r="10" spans="1:7" x14ac:dyDescent="0.25">
      <c r="A10" s="2" t="s">
        <v>1</v>
      </c>
      <c r="B10" s="9" t="s">
        <v>3052</v>
      </c>
      <c r="C10" t="s">
        <v>3284</v>
      </c>
      <c r="D10" s="5" t="s">
        <v>3162</v>
      </c>
      <c r="E10" t="str">
        <f t="shared" si="0"/>
        <v>UPDATE [MAP].[T_TRANS_CUSTOMER] SET NEW_CUSTOMER_ID = 'C0007' WHERE LEGACY_CUSTOMER_ID = 'BALLCORP' AND DATA_FOLDER_ID = 'sampl'</v>
      </c>
      <c r="F10" t="str">
        <f t="shared" si="1"/>
        <v>Changed</v>
      </c>
      <c r="G10" t="str">
        <f t="shared" si="2"/>
        <v>-</v>
      </c>
    </row>
    <row r="11" spans="1:7" x14ac:dyDescent="0.25">
      <c r="A11" s="2" t="s">
        <v>1</v>
      </c>
      <c r="B11" s="9" t="s">
        <v>3053</v>
      </c>
      <c r="C11" t="s">
        <v>3285</v>
      </c>
      <c r="D11" s="5" t="s">
        <v>3163</v>
      </c>
      <c r="E11" t="str">
        <f t="shared" si="0"/>
        <v>UPDATE [MAP].[T_TRANS_CUSTOMER] SET NEW_CUSTOMER_ID = 'C0008' WHERE LEGACY_CUSTOMER_ID = 'BEDACOMP' AND DATA_FOLDER_ID = 'sampl'</v>
      </c>
      <c r="F11" t="str">
        <f t="shared" si="1"/>
        <v>Changed</v>
      </c>
      <c r="G11" t="str">
        <f t="shared" si="2"/>
        <v>-</v>
      </c>
    </row>
    <row r="12" spans="1:7" x14ac:dyDescent="0.25">
      <c r="A12" s="2" t="s">
        <v>1</v>
      </c>
      <c r="B12" s="9" t="s">
        <v>3054</v>
      </c>
      <c r="C12" t="s">
        <v>1368</v>
      </c>
      <c r="D12" s="5" t="s">
        <v>3164</v>
      </c>
      <c r="E12" t="str">
        <f t="shared" si="0"/>
        <v>UPDATE [MAP].[T_TRANS_CUSTOMER] SET NEW_CUSTOMER_ID = 'C0009' WHERE LEGACY_CUSTOMER_ID = 'BEINKE' AND DATA_FOLDER_ID = 'sampl'</v>
      </c>
      <c r="F12" t="str">
        <f t="shared" si="1"/>
        <v>Changed</v>
      </c>
      <c r="G12" t="str">
        <f t="shared" si="2"/>
        <v>-</v>
      </c>
    </row>
    <row r="13" spans="1:7" x14ac:dyDescent="0.25">
      <c r="A13" s="2" t="s">
        <v>1</v>
      </c>
      <c r="B13" s="9" t="s">
        <v>3055</v>
      </c>
      <c r="C13" t="s">
        <v>3286</v>
      </c>
      <c r="D13" s="5" t="s">
        <v>3165</v>
      </c>
      <c r="E13" t="str">
        <f t="shared" si="0"/>
        <v>UPDATE [MAP].[T_TRANS_CUSTOMER] SET NEW_CUSTOMER_ID = 'C0010' WHERE LEGACY_CUSTOMER_ID = 'BILFINGE' AND DATA_FOLDER_ID = 'sampl'</v>
      </c>
      <c r="F13" t="str">
        <f t="shared" si="1"/>
        <v>Changed</v>
      </c>
      <c r="G13" t="str">
        <f t="shared" si="2"/>
        <v>-</v>
      </c>
    </row>
    <row r="14" spans="1:7" x14ac:dyDescent="0.25">
      <c r="A14" s="2" t="s">
        <v>1</v>
      </c>
      <c r="B14" s="9" t="s">
        <v>3056</v>
      </c>
      <c r="C14" t="s">
        <v>3287</v>
      </c>
      <c r="D14" s="5" t="s">
        <v>3166</v>
      </c>
      <c r="E14" t="str">
        <f t="shared" si="0"/>
        <v>UPDATE [MAP].[T_TRANS_CUSTOMER] SET NEW_CUSTOMER_ID = 'C0011' WHERE LEGACY_CUSTOMER_ID = 'BMPROPTY' AND DATA_FOLDER_ID = 'sampl'</v>
      </c>
      <c r="F14" t="str">
        <f t="shared" si="1"/>
        <v>Changed</v>
      </c>
      <c r="G14" t="str">
        <f t="shared" si="2"/>
        <v>-</v>
      </c>
    </row>
    <row r="15" spans="1:7" x14ac:dyDescent="0.25">
      <c r="A15" s="2" t="s">
        <v>1</v>
      </c>
      <c r="B15" s="9" t="s">
        <v>153</v>
      </c>
      <c r="C15" t="s">
        <v>1155</v>
      </c>
      <c r="D15" s="5" t="s">
        <v>3167</v>
      </c>
      <c r="E15" t="str">
        <f t="shared" si="0"/>
        <v>UPDATE [MAP].[T_TRANS_CUSTOMER] SET NEW_CUSTOMER_ID = 'C0012' WHERE LEGACY_CUSTOMER_ID = 'BORTONLA' AND DATA_FOLDER_ID = 'sampl'</v>
      </c>
      <c r="F15" t="str">
        <f t="shared" si="1"/>
        <v>Changed</v>
      </c>
      <c r="G15" t="str">
        <f t="shared" si="2"/>
        <v>-</v>
      </c>
    </row>
    <row r="16" spans="1:7" x14ac:dyDescent="0.25">
      <c r="A16" s="2" t="s">
        <v>1</v>
      </c>
      <c r="B16" s="9" t="s">
        <v>3057</v>
      </c>
      <c r="C16" t="s">
        <v>3288</v>
      </c>
      <c r="D16" s="5" t="s">
        <v>3168</v>
      </c>
      <c r="E16" t="str">
        <f t="shared" si="0"/>
        <v>UPDATE [MAP].[T_TRANS_CUSTOMER] SET NEW_CUSTOMER_ID = 'C0013' WHERE LEGACY_CUSTOMER_ID = 'BREWGARR' AND DATA_FOLDER_ID = 'sampl'</v>
      </c>
      <c r="F16" t="str">
        <f t="shared" si="1"/>
        <v>Changed</v>
      </c>
      <c r="G16" t="str">
        <f t="shared" si="2"/>
        <v>-</v>
      </c>
    </row>
    <row r="17" spans="1:7" x14ac:dyDescent="0.25">
      <c r="A17" s="2" t="s">
        <v>1</v>
      </c>
      <c r="B17" s="9" t="s">
        <v>3058</v>
      </c>
      <c r="C17" t="s">
        <v>3289</v>
      </c>
      <c r="D17" s="5" t="s">
        <v>3169</v>
      </c>
      <c r="E17" t="str">
        <f t="shared" si="0"/>
        <v>UPDATE [MAP].[T_TRANS_CUSTOMER] SET NEW_CUSTOMER_ID = 'C0014' WHERE LEGACY_CUSTOMER_ID = 'BUTZ0000' AND DATA_FOLDER_ID = 'sampl'</v>
      </c>
      <c r="F17" t="str">
        <f t="shared" si="1"/>
        <v>Changed</v>
      </c>
      <c r="G17" t="str">
        <f t="shared" si="2"/>
        <v>-</v>
      </c>
    </row>
    <row r="18" spans="1:7" x14ac:dyDescent="0.25">
      <c r="A18" s="2" t="s">
        <v>1</v>
      </c>
      <c r="B18" s="9" t="s">
        <v>3059</v>
      </c>
      <c r="C18" t="s">
        <v>3290</v>
      </c>
      <c r="D18" s="5" t="s">
        <v>3170</v>
      </c>
      <c r="E18" t="str">
        <f t="shared" si="0"/>
        <v>UPDATE [MAP].[T_TRANS_CUSTOMER] SET NEW_CUSTOMER_ID = 'C0015' WHERE LEGACY_CUSTOMER_ID = 'CANDOHAZ' AND DATA_FOLDER_ID = 'sampl'</v>
      </c>
      <c r="F18" t="str">
        <f t="shared" si="1"/>
        <v>Changed</v>
      </c>
      <c r="G18" t="str">
        <f t="shared" si="2"/>
        <v>-</v>
      </c>
    </row>
    <row r="19" spans="1:7" x14ac:dyDescent="0.25">
      <c r="A19" s="2" t="s">
        <v>1</v>
      </c>
      <c r="B19" s="9" t="s">
        <v>3060</v>
      </c>
      <c r="C19" t="s">
        <v>3291</v>
      </c>
      <c r="D19" s="5" t="s">
        <v>3171</v>
      </c>
      <c r="E19" t="str">
        <f t="shared" si="0"/>
        <v>UPDATE [MAP].[T_TRANS_CUSTOMER] SET NEW_CUSTOMER_ID = 'C0016' WHERE LEGACY_CUSTOMER_ID = 'CAPPRECO' AND DATA_FOLDER_ID = 'sampl'</v>
      </c>
      <c r="F19" t="str">
        <f t="shared" si="1"/>
        <v>Changed</v>
      </c>
      <c r="G19" t="str">
        <f t="shared" si="2"/>
        <v>-</v>
      </c>
    </row>
    <row r="20" spans="1:7" x14ac:dyDescent="0.25">
      <c r="A20" s="2" t="s">
        <v>1</v>
      </c>
      <c r="B20" s="9" t="s">
        <v>3061</v>
      </c>
      <c r="C20" t="s">
        <v>3292</v>
      </c>
      <c r="D20" s="5" t="s">
        <v>3172</v>
      </c>
      <c r="E20" t="str">
        <f t="shared" si="0"/>
        <v>UPDATE [MAP].[T_TRANS_CUSTOMER] SET NEW_CUSTOMER_ID = 'C0017' WHERE LEGACY_CUSTOMER_ID = 'CARDINAL' AND DATA_FOLDER_ID = 'sampl'</v>
      </c>
      <c r="F20" t="str">
        <f t="shared" si="1"/>
        <v>Changed</v>
      </c>
      <c r="G20" t="str">
        <f t="shared" si="2"/>
        <v>-</v>
      </c>
    </row>
    <row r="21" spans="1:7" x14ac:dyDescent="0.25">
      <c r="A21" s="2" t="s">
        <v>1</v>
      </c>
      <c r="B21" s="9" t="s">
        <v>3062</v>
      </c>
      <c r="C21" t="s">
        <v>3293</v>
      </c>
      <c r="D21" s="5" t="s">
        <v>3173</v>
      </c>
      <c r="E21" t="str">
        <f t="shared" si="0"/>
        <v>UPDATE [MAP].[T_TRANS_CUSTOMER] SET NEW_CUSTOMER_ID = 'C0018' WHERE LEGACY_CUSTOMER_ID = 'CBREGWSL' AND DATA_FOLDER_ID = 'sampl'</v>
      </c>
      <c r="F21" t="str">
        <f t="shared" si="1"/>
        <v>Changed</v>
      </c>
      <c r="G21" t="str">
        <f t="shared" si="2"/>
        <v>-</v>
      </c>
    </row>
    <row r="22" spans="1:7" x14ac:dyDescent="0.25">
      <c r="A22" s="2" t="s">
        <v>1</v>
      </c>
      <c r="B22" s="9" t="s">
        <v>3063</v>
      </c>
      <c r="C22" t="s">
        <v>3294</v>
      </c>
      <c r="D22" s="5" t="s">
        <v>3174</v>
      </c>
      <c r="E22" t="str">
        <f t="shared" si="0"/>
        <v>UPDATE [MAP].[T_TRANS_CUSTOMER] SET NEW_CUSTOMER_ID = 'C0019' WHERE LEGACY_CUSTOMER_ID = 'Chance' AND DATA_FOLDER_ID = 'sampl'</v>
      </c>
      <c r="F22" t="str">
        <f t="shared" si="1"/>
        <v>Changed</v>
      </c>
      <c r="G22" t="str">
        <f t="shared" si="2"/>
        <v>-</v>
      </c>
    </row>
    <row r="23" spans="1:7" x14ac:dyDescent="0.25">
      <c r="A23" s="2" t="s">
        <v>1</v>
      </c>
      <c r="B23" s="9" t="s">
        <v>3064</v>
      </c>
      <c r="C23" t="s">
        <v>3295</v>
      </c>
      <c r="D23" s="5" t="s">
        <v>3175</v>
      </c>
      <c r="E23" t="str">
        <f t="shared" si="0"/>
        <v>UPDATE [MAP].[T_TRANS_CUSTOMER] SET NEW_CUSTOMER_ID = 'C0020' WHERE LEGACY_CUSTOMER_ID = 'CITTERIO' AND DATA_FOLDER_ID = 'sampl'</v>
      </c>
      <c r="F23" t="str">
        <f t="shared" si="1"/>
        <v>Changed</v>
      </c>
      <c r="G23" t="str">
        <f t="shared" si="2"/>
        <v>-</v>
      </c>
    </row>
    <row r="24" spans="1:7" x14ac:dyDescent="0.25">
      <c r="A24" s="2" t="s">
        <v>1</v>
      </c>
      <c r="B24" s="9" t="s">
        <v>3065</v>
      </c>
      <c r="C24" t="s">
        <v>3296</v>
      </c>
      <c r="D24" s="5" t="s">
        <v>3176</v>
      </c>
      <c r="E24" t="str">
        <f t="shared" si="0"/>
        <v>UPDATE [MAP].[T_TRANS_CUSTOMER] SET NEW_CUSTOMER_ID = 'C0021' WHERE LEGACY_CUSTOMER_ID = 'CMCINC' AND DATA_FOLDER_ID = 'sampl'</v>
      </c>
      <c r="F24" t="str">
        <f t="shared" si="1"/>
        <v>Changed</v>
      </c>
      <c r="G24" t="str">
        <f t="shared" si="2"/>
        <v>-</v>
      </c>
    </row>
    <row r="25" spans="1:7" x14ac:dyDescent="0.25">
      <c r="A25" s="2" t="s">
        <v>1</v>
      </c>
      <c r="B25" s="9" t="s">
        <v>3066</v>
      </c>
      <c r="C25" t="s">
        <v>3297</v>
      </c>
      <c r="D25" s="5" t="s">
        <v>3177</v>
      </c>
      <c r="E25" t="str">
        <f t="shared" si="0"/>
        <v>UPDATE [MAP].[T_TRANS_CUSTOMER] SET NEW_CUSTOMER_ID = 'C0022' WHERE LEGACY_CUSTOMER_ID = 'COLTS' AND DATA_FOLDER_ID = 'sampl'</v>
      </c>
      <c r="F25" t="str">
        <f t="shared" si="1"/>
        <v>Changed</v>
      </c>
      <c r="G25" t="str">
        <f t="shared" si="2"/>
        <v>-</v>
      </c>
    </row>
    <row r="26" spans="1:7" x14ac:dyDescent="0.25">
      <c r="A26" s="2" t="s">
        <v>1</v>
      </c>
      <c r="B26" s="9" t="s">
        <v>3067</v>
      </c>
      <c r="C26" t="s">
        <v>3298</v>
      </c>
      <c r="D26" s="5" t="s">
        <v>3178</v>
      </c>
      <c r="E26" t="str">
        <f t="shared" si="0"/>
        <v>UPDATE [MAP].[T_TRANS_CUSTOMER] SET NEW_CUSTOMER_ID = 'C0023' WHERE LEGACY_CUSTOMER_ID = 'CONRACSO' AND DATA_FOLDER_ID = 'sampl'</v>
      </c>
      <c r="F26" t="str">
        <f t="shared" si="1"/>
        <v>Changed</v>
      </c>
      <c r="G26" t="str">
        <f t="shared" si="2"/>
        <v>-</v>
      </c>
    </row>
    <row r="27" spans="1:7" x14ac:dyDescent="0.25">
      <c r="A27" s="2" t="s">
        <v>1</v>
      </c>
      <c r="B27" s="9" t="s">
        <v>239</v>
      </c>
      <c r="C27" t="s">
        <v>1241</v>
      </c>
      <c r="D27" s="5" t="s">
        <v>3179</v>
      </c>
      <c r="E27" t="str">
        <f t="shared" si="0"/>
        <v>UPDATE [MAP].[T_TRANS_CUSTOMER] SET NEW_CUSTOMER_ID = 'C0024' WHERE LEGACY_CUSTOMER_ID = 'COSGROVE' AND DATA_FOLDER_ID = 'sampl'</v>
      </c>
      <c r="F27" t="str">
        <f t="shared" si="1"/>
        <v>Changed</v>
      </c>
      <c r="G27" t="str">
        <f t="shared" si="2"/>
        <v>-</v>
      </c>
    </row>
    <row r="28" spans="1:7" x14ac:dyDescent="0.25">
      <c r="A28" s="2" t="s">
        <v>1</v>
      </c>
      <c r="B28" s="9" t="s">
        <v>3068</v>
      </c>
      <c r="C28" t="s">
        <v>3299</v>
      </c>
      <c r="D28" s="5" t="s">
        <v>3180</v>
      </c>
      <c r="E28" t="str">
        <f t="shared" si="0"/>
        <v>UPDATE [MAP].[T_TRANS_CUSTOMER] SET NEW_CUSTOMER_ID = 'C0025' WHERE LEGACY_CUSTOMER_ID = 'COSTANZO' AND DATA_FOLDER_ID = 'sampl'</v>
      </c>
      <c r="F28" t="str">
        <f t="shared" si="1"/>
        <v>Changed</v>
      </c>
      <c r="G28" t="str">
        <f t="shared" si="2"/>
        <v>-</v>
      </c>
    </row>
    <row r="29" spans="1:7" x14ac:dyDescent="0.25">
      <c r="A29" s="2" t="s">
        <v>1</v>
      </c>
      <c r="B29" s="9" t="s">
        <v>3069</v>
      </c>
      <c r="C29" t="s">
        <v>3300</v>
      </c>
      <c r="D29" s="5" t="s">
        <v>3181</v>
      </c>
      <c r="E29" t="str">
        <f t="shared" si="0"/>
        <v>UPDATE [MAP].[T_TRANS_CUSTOMER] SET NEW_CUSTOMER_ID = 'C0026' WHERE LEGACY_CUSTOMER_ID = 'CRB00000' AND DATA_FOLDER_ID = 'sampl'</v>
      </c>
      <c r="F29" t="str">
        <f t="shared" si="1"/>
        <v>Changed</v>
      </c>
      <c r="G29" t="str">
        <f t="shared" si="2"/>
        <v>-</v>
      </c>
    </row>
    <row r="30" spans="1:7" x14ac:dyDescent="0.25">
      <c r="A30" s="2" t="s">
        <v>1</v>
      </c>
      <c r="B30" s="9" t="s">
        <v>3070</v>
      </c>
      <c r="C30" t="s">
        <v>3301</v>
      </c>
      <c r="D30" s="5" t="s">
        <v>3182</v>
      </c>
      <c r="E30" t="str">
        <f t="shared" si="0"/>
        <v>UPDATE [MAP].[T_TRANS_CUSTOMER] SET NEW_CUSTOMER_ID = 'C0027' WHERE LEGACY_CUSTOMER_ID = 'CUSHMAN0' AND DATA_FOLDER_ID = 'sampl'</v>
      </c>
      <c r="F30" t="str">
        <f t="shared" si="1"/>
        <v>Changed</v>
      </c>
      <c r="G30" t="str">
        <f t="shared" si="2"/>
        <v>-</v>
      </c>
    </row>
    <row r="31" spans="1:7" x14ac:dyDescent="0.25">
      <c r="A31" s="2" t="s">
        <v>1</v>
      </c>
      <c r="B31" s="9" t="s">
        <v>3071</v>
      </c>
      <c r="C31" t="s">
        <v>3302</v>
      </c>
      <c r="D31" s="5" t="s">
        <v>3183</v>
      </c>
      <c r="E31" t="str">
        <f t="shared" si="0"/>
        <v>UPDATE [MAP].[T_TRANS_CUSTOMER] SET NEW_CUSTOMER_ID = 'C0028' WHERE LEGACY_CUSTOMER_ID = 'DIOCESRC' AND DATA_FOLDER_ID = 'sampl'</v>
      </c>
      <c r="F31" t="str">
        <f t="shared" si="1"/>
        <v>Changed</v>
      </c>
      <c r="G31" t="str">
        <f t="shared" si="2"/>
        <v>-</v>
      </c>
    </row>
    <row r="32" spans="1:7" x14ac:dyDescent="0.25">
      <c r="A32" s="2" t="s">
        <v>1</v>
      </c>
      <c r="B32" s="9" t="s">
        <v>3072</v>
      </c>
      <c r="C32" t="s">
        <v>1253</v>
      </c>
      <c r="D32" s="5" t="s">
        <v>3184</v>
      </c>
      <c r="E32" t="str">
        <f t="shared" si="0"/>
        <v>UPDATE [MAP].[T_TRANS_CUSTOMER] SET NEW_CUSTOMER_ID = 'C0029' WHERE LEGACY_CUSTOMER_ID = 'DLWELD' AND DATA_FOLDER_ID = 'sampl'</v>
      </c>
      <c r="F32" t="str">
        <f t="shared" si="1"/>
        <v>Changed</v>
      </c>
      <c r="G32" t="str">
        <f t="shared" si="2"/>
        <v>-</v>
      </c>
    </row>
    <row r="33" spans="1:7" x14ac:dyDescent="0.25">
      <c r="A33" s="2" t="s">
        <v>1</v>
      </c>
      <c r="B33" s="9" t="s">
        <v>3073</v>
      </c>
      <c r="C33" t="s">
        <v>3303</v>
      </c>
      <c r="D33" s="5" t="s">
        <v>3185</v>
      </c>
      <c r="E33" t="str">
        <f t="shared" si="0"/>
        <v>UPDATE [MAP].[T_TRANS_CUSTOMER] SET NEW_CUSTOMER_ID = 'C0030' WHERE LEGACY_CUSTOMER_ID = 'Dunmore' AND DATA_FOLDER_ID = 'sampl'</v>
      </c>
      <c r="F33" t="str">
        <f t="shared" si="1"/>
        <v>Changed</v>
      </c>
      <c r="G33" t="str">
        <f t="shared" si="2"/>
        <v>-</v>
      </c>
    </row>
    <row r="34" spans="1:7" x14ac:dyDescent="0.25">
      <c r="A34" s="2" t="s">
        <v>1</v>
      </c>
      <c r="B34" s="9" t="s">
        <v>290</v>
      </c>
      <c r="C34" t="s">
        <v>1292</v>
      </c>
      <c r="D34" s="5" t="s">
        <v>3186</v>
      </c>
      <c r="E34" t="str">
        <f t="shared" si="0"/>
        <v>UPDATE [MAP].[T_TRANS_CUSTOMER] SET NEW_CUSTOMER_ID = 'C0031' WHERE LEGACY_CUSTOMER_ID = 'DXDEMPSE' AND DATA_FOLDER_ID = 'sampl'</v>
      </c>
      <c r="F34" t="str">
        <f t="shared" si="1"/>
        <v>Changed</v>
      </c>
      <c r="G34" t="str">
        <f t="shared" si="2"/>
        <v>-</v>
      </c>
    </row>
    <row r="35" spans="1:7" x14ac:dyDescent="0.25">
      <c r="A35" s="2" t="s">
        <v>1</v>
      </c>
      <c r="B35" s="9" t="s">
        <v>3074</v>
      </c>
      <c r="C35" t="s">
        <v>3304</v>
      </c>
      <c r="D35" s="5" t="s">
        <v>3187</v>
      </c>
      <c r="E35" t="str">
        <f t="shared" si="0"/>
        <v>UPDATE [MAP].[T_TRANS_CUSTOMER] SET NEW_CUSTOMER_ID = 'C0032' WHERE LEGACY_CUSTOMER_ID = 'EGCConst' AND DATA_FOLDER_ID = 'sampl'</v>
      </c>
      <c r="F35" t="str">
        <f t="shared" si="1"/>
        <v>Changed</v>
      </c>
      <c r="G35" t="str">
        <f t="shared" si="2"/>
        <v>-</v>
      </c>
    </row>
    <row r="36" spans="1:7" x14ac:dyDescent="0.25">
      <c r="A36" s="2" t="s">
        <v>1</v>
      </c>
      <c r="B36" s="9" t="s">
        <v>3075</v>
      </c>
      <c r="C36" t="s">
        <v>3305</v>
      </c>
      <c r="D36" s="5" t="s">
        <v>3188</v>
      </c>
      <c r="E36" t="str">
        <f t="shared" si="0"/>
        <v>UPDATE [MAP].[T_TRANS_CUSTOMER] SET NEW_CUSTOMER_ID = 'C0033' WHERE LEGACY_CUSTOMER_ID = 'EPSTEIN0' AND DATA_FOLDER_ID = 'sampl'</v>
      </c>
      <c r="F36" t="str">
        <f t="shared" si="1"/>
        <v>Changed</v>
      </c>
      <c r="G36" t="str">
        <f t="shared" si="2"/>
        <v>-</v>
      </c>
    </row>
    <row r="37" spans="1:7" x14ac:dyDescent="0.25">
      <c r="A37" s="2" t="s">
        <v>1</v>
      </c>
      <c r="B37" s="9" t="s">
        <v>336</v>
      </c>
      <c r="C37" t="s">
        <v>1338</v>
      </c>
      <c r="D37" s="5" t="s">
        <v>3189</v>
      </c>
      <c r="E37" t="str">
        <f t="shared" si="0"/>
        <v>UPDATE [MAP].[T_TRANS_CUSTOMER] SET NEW_CUSTOMER_ID = 'C0034' WHERE LEGACY_CUSTOMER_ID = 'FABCORIN' AND DATA_FOLDER_ID = 'sampl'</v>
      </c>
      <c r="F37" t="str">
        <f t="shared" si="1"/>
        <v>Changed</v>
      </c>
      <c r="G37" t="str">
        <f t="shared" si="2"/>
        <v>-</v>
      </c>
    </row>
    <row r="38" spans="1:7" x14ac:dyDescent="0.25">
      <c r="A38" s="2" t="s">
        <v>1</v>
      </c>
      <c r="B38" s="9" t="s">
        <v>3076</v>
      </c>
      <c r="C38" t="s">
        <v>3306</v>
      </c>
      <c r="D38" s="5" t="s">
        <v>3190</v>
      </c>
      <c r="E38" t="str">
        <f t="shared" si="0"/>
        <v>UPDATE [MAP].[T_TRANS_CUSTOMER] SET NEW_CUSTOMER_ID = 'C0035' WHERE LEGACY_CUSTOMER_ID = 'FIDELITY' AND DATA_FOLDER_ID = 'sampl'</v>
      </c>
      <c r="F38" t="str">
        <f t="shared" si="1"/>
        <v>Changed</v>
      </c>
      <c r="G38" t="str">
        <f t="shared" si="2"/>
        <v>-</v>
      </c>
    </row>
    <row r="39" spans="1:7" x14ac:dyDescent="0.25">
      <c r="A39" s="2" t="s">
        <v>1</v>
      </c>
      <c r="B39" s="9" t="s">
        <v>3077</v>
      </c>
      <c r="C39" t="s">
        <v>3307</v>
      </c>
      <c r="D39" s="5" t="s">
        <v>3191</v>
      </c>
      <c r="E39" t="str">
        <f t="shared" si="0"/>
        <v>UPDATE [MAP].[T_TRANS_CUSTOMER] SET NEW_CUSTOMER_ID = 'C0036' WHERE LEGACY_CUSTOMER_ID = 'FOREUPRE' AND DATA_FOLDER_ID = 'sampl'</v>
      </c>
      <c r="F39" t="str">
        <f t="shared" si="1"/>
        <v>Changed</v>
      </c>
      <c r="G39" t="str">
        <f t="shared" si="2"/>
        <v>-</v>
      </c>
    </row>
    <row r="40" spans="1:7" x14ac:dyDescent="0.25">
      <c r="A40" s="2" t="s">
        <v>1</v>
      </c>
      <c r="B40" s="9" t="s">
        <v>3078</v>
      </c>
      <c r="C40" t="s">
        <v>1370</v>
      </c>
      <c r="D40" s="5" t="s">
        <v>3192</v>
      </c>
      <c r="E40" t="str">
        <f t="shared" si="0"/>
        <v>UPDATE [MAP].[T_TRANS_CUSTOMER] SET NEW_CUSTOMER_ID = 'C0037' WHERE LEGACY_CUSTOMER_ID = 'FREESTAT' AND DATA_FOLDER_ID = 'sampl'</v>
      </c>
      <c r="F40" t="str">
        <f t="shared" si="1"/>
        <v>Changed</v>
      </c>
      <c r="G40" t="str">
        <f t="shared" si="2"/>
        <v>-</v>
      </c>
    </row>
    <row r="41" spans="1:7" x14ac:dyDescent="0.25">
      <c r="A41" s="2" t="s">
        <v>1</v>
      </c>
      <c r="B41" s="9" t="s">
        <v>380</v>
      </c>
      <c r="C41" t="s">
        <v>1382</v>
      </c>
      <c r="D41" s="5" t="s">
        <v>3193</v>
      </c>
      <c r="E41" t="str">
        <f t="shared" si="0"/>
        <v>UPDATE [MAP].[T_TRANS_CUSTOMER] SET NEW_CUSTOMER_ID = 'C0038' WHERE LEGACY_CUSTOMER_ID = 'GEISING0' AND DATA_FOLDER_ID = 'sampl'</v>
      </c>
      <c r="F41" t="str">
        <f t="shared" si="1"/>
        <v>Changed</v>
      </c>
      <c r="G41" t="str">
        <f t="shared" si="2"/>
        <v>-</v>
      </c>
    </row>
    <row r="42" spans="1:7" x14ac:dyDescent="0.25">
      <c r="A42" s="2" t="s">
        <v>1</v>
      </c>
      <c r="B42" s="9" t="s">
        <v>3079</v>
      </c>
      <c r="C42" t="s">
        <v>3308</v>
      </c>
      <c r="D42" s="5" t="s">
        <v>3194</v>
      </c>
      <c r="E42" t="str">
        <f t="shared" si="0"/>
        <v>UPDATE [MAP].[T_TRANS_CUSTOMER] SET NEW_CUSTOMER_ID = 'C0039' WHERE LEGACY_CUSTOMER_ID = 'GENZYMEC' AND DATA_FOLDER_ID = 'sampl'</v>
      </c>
      <c r="F42" t="str">
        <f t="shared" si="1"/>
        <v>Changed</v>
      </c>
      <c r="G42" t="str">
        <f t="shared" si="2"/>
        <v>-</v>
      </c>
    </row>
    <row r="43" spans="1:7" x14ac:dyDescent="0.25">
      <c r="A43" s="2" t="s">
        <v>1</v>
      </c>
      <c r="B43" s="9" t="s">
        <v>3080</v>
      </c>
      <c r="C43" t="s">
        <v>3309</v>
      </c>
      <c r="D43" s="5" t="s">
        <v>3195</v>
      </c>
      <c r="E43" t="str">
        <f t="shared" si="0"/>
        <v>UPDATE [MAP].[T_TRANS_CUSTOMER] SET NEW_CUSTOMER_ID = 'C0040' WHERE LEGACY_CUSTOMER_ID = 'GERTRUDE' AND DATA_FOLDER_ID = 'sampl'</v>
      </c>
      <c r="F43" t="str">
        <f t="shared" si="1"/>
        <v>Changed</v>
      </c>
      <c r="G43" t="str">
        <f t="shared" si="2"/>
        <v>-</v>
      </c>
    </row>
    <row r="44" spans="1:7" x14ac:dyDescent="0.25">
      <c r="A44" s="2" t="s">
        <v>1</v>
      </c>
      <c r="B44" s="9" t="s">
        <v>3081</v>
      </c>
      <c r="C44" t="s">
        <v>3310</v>
      </c>
      <c r="D44" s="5" t="s">
        <v>3196</v>
      </c>
      <c r="E44" t="str">
        <f t="shared" si="0"/>
        <v>UPDATE [MAP].[T_TRANS_CUSTOMER] SET NEW_CUSTOMER_ID = 'C0041' WHERE LEGACY_CUSTOMER_ID = 'HILTONDO' AND DATA_FOLDER_ID = 'sampl'</v>
      </c>
      <c r="F44" t="str">
        <f t="shared" si="1"/>
        <v>Changed</v>
      </c>
      <c r="G44" t="str">
        <f t="shared" si="2"/>
        <v>-</v>
      </c>
    </row>
    <row r="45" spans="1:7" x14ac:dyDescent="0.25">
      <c r="A45" s="2" t="s">
        <v>1</v>
      </c>
      <c r="B45" s="9" t="s">
        <v>3082</v>
      </c>
      <c r="C45" t="s">
        <v>3311</v>
      </c>
      <c r="D45" s="5" t="s">
        <v>3197</v>
      </c>
      <c r="E45" t="str">
        <f t="shared" si="0"/>
        <v>UPDATE [MAP].[T_TRANS_CUSTOMER] SET NEW_CUSTOMER_ID = 'C0042' WHERE LEGACY_CUSTOMER_ID = 'HOLCIMUS' AND DATA_FOLDER_ID = 'sampl'</v>
      </c>
      <c r="F45" t="str">
        <f t="shared" si="1"/>
        <v>Changed</v>
      </c>
      <c r="G45" t="str">
        <f t="shared" si="2"/>
        <v>-</v>
      </c>
    </row>
    <row r="46" spans="1:7" x14ac:dyDescent="0.25">
      <c r="A46" s="2" t="s">
        <v>1</v>
      </c>
      <c r="B46" s="9" t="s">
        <v>3083</v>
      </c>
      <c r="C46" t="s">
        <v>3312</v>
      </c>
      <c r="D46" s="5" t="s">
        <v>3198</v>
      </c>
      <c r="E46" t="str">
        <f t="shared" si="0"/>
        <v>UPDATE [MAP].[T_TRANS_CUSTOMER] SET NEW_CUSTOMER_ID = 'C0043' WHERE LEGACY_CUSTOMER_ID = 'HOLIDAY' AND DATA_FOLDER_ID = 'sampl'</v>
      </c>
      <c r="F46" t="str">
        <f t="shared" si="1"/>
        <v>Changed</v>
      </c>
      <c r="G46" t="str">
        <f t="shared" si="2"/>
        <v>-</v>
      </c>
    </row>
    <row r="47" spans="1:7" x14ac:dyDescent="0.25">
      <c r="A47" s="2" t="s">
        <v>1</v>
      </c>
      <c r="B47" s="9" t="s">
        <v>3084</v>
      </c>
      <c r="C47" t="s">
        <v>3313</v>
      </c>
      <c r="D47" s="5" t="s">
        <v>3199</v>
      </c>
      <c r="E47" t="str">
        <f t="shared" si="0"/>
        <v>UPDATE [MAP].[T_TRANS_CUSTOMER] SET NEW_CUSTOMER_ID = 'C0044' WHERE LEGACY_CUSTOMER_ID = 'HOLYNAME' AND DATA_FOLDER_ID = 'sampl'</v>
      </c>
      <c r="F47" t="str">
        <f t="shared" si="1"/>
        <v>Changed</v>
      </c>
      <c r="G47" t="str">
        <f t="shared" si="2"/>
        <v>-</v>
      </c>
    </row>
    <row r="48" spans="1:7" x14ac:dyDescent="0.25">
      <c r="A48" s="2" t="s">
        <v>1</v>
      </c>
      <c r="B48" s="9" t="s">
        <v>453</v>
      </c>
      <c r="C48" t="s">
        <v>3314</v>
      </c>
      <c r="D48" s="5" t="s">
        <v>3200</v>
      </c>
      <c r="E48" t="str">
        <f t="shared" si="0"/>
        <v>UPDATE [MAP].[T_TRANS_CUSTOMER] SET NEW_CUSTOMER_ID = 'C0045' WHERE LEGACY_CUSTOMER_ID = 'ICONINC' AND DATA_FOLDER_ID = 'sampl'</v>
      </c>
      <c r="F48" t="str">
        <f t="shared" si="1"/>
        <v>Changed</v>
      </c>
      <c r="G48" t="str">
        <f t="shared" si="2"/>
        <v>-</v>
      </c>
    </row>
    <row r="49" spans="1:7" x14ac:dyDescent="0.25">
      <c r="A49" s="2" t="s">
        <v>1</v>
      </c>
      <c r="B49" s="9" t="s">
        <v>3085</v>
      </c>
      <c r="C49" t="s">
        <v>3315</v>
      </c>
      <c r="D49" s="5" t="s">
        <v>3201</v>
      </c>
      <c r="E49" t="str">
        <f t="shared" si="0"/>
        <v>UPDATE [MAP].[T_TRANS_CUSTOMER] SET NEW_CUSTOMER_ID = 'C0046' WHERE LEGACY_CUSTOMER_ID = 'INDUSTRI' AND DATA_FOLDER_ID = 'sampl'</v>
      </c>
      <c r="F49" t="str">
        <f t="shared" si="1"/>
        <v>Changed</v>
      </c>
      <c r="G49" t="str">
        <f t="shared" si="2"/>
        <v>-</v>
      </c>
    </row>
    <row r="50" spans="1:7" x14ac:dyDescent="0.25">
      <c r="A50" s="2" t="s">
        <v>1</v>
      </c>
      <c r="B50" s="9" t="s">
        <v>3086</v>
      </c>
      <c r="C50" t="s">
        <v>3316</v>
      </c>
      <c r="D50" s="5" t="s">
        <v>3202</v>
      </c>
      <c r="E50" t="str">
        <f t="shared" si="0"/>
        <v>UPDATE [MAP].[T_TRANS_CUSTOMER] SET NEW_CUSTOMER_ID = 'C0047' WHERE LEGACY_CUSTOMER_ID = 'INTEGRAT' AND DATA_FOLDER_ID = 'sampl'</v>
      </c>
      <c r="F50" t="str">
        <f t="shared" si="1"/>
        <v>Changed</v>
      </c>
      <c r="G50" t="str">
        <f t="shared" si="2"/>
        <v>-</v>
      </c>
    </row>
    <row r="51" spans="1:7" x14ac:dyDescent="0.25">
      <c r="A51" s="2" t="s">
        <v>1</v>
      </c>
      <c r="B51" s="9" t="s">
        <v>3087</v>
      </c>
      <c r="C51" t="s">
        <v>3317</v>
      </c>
      <c r="D51" s="5" t="s">
        <v>3203</v>
      </c>
      <c r="E51" t="str">
        <f t="shared" si="0"/>
        <v>UPDATE [MAP].[T_TRANS_CUSTOMER] SET NEW_CUSTOMER_ID = 'C0048' WHERE LEGACY_CUSTOMER_ID = 'JACOBS01' AND DATA_FOLDER_ID = 'sampl'</v>
      </c>
      <c r="F51" t="str">
        <f t="shared" si="1"/>
        <v>Changed</v>
      </c>
      <c r="G51" t="str">
        <f t="shared" si="2"/>
        <v>-</v>
      </c>
    </row>
    <row r="52" spans="1:7" x14ac:dyDescent="0.25">
      <c r="A52" s="2" t="s">
        <v>1</v>
      </c>
      <c r="B52" s="9" t="s">
        <v>3088</v>
      </c>
      <c r="C52" t="s">
        <v>1465</v>
      </c>
      <c r="D52" s="5" t="s">
        <v>3204</v>
      </c>
      <c r="E52" t="str">
        <f t="shared" si="0"/>
        <v>UPDATE [MAP].[T_TRANS_CUSTOMER] SET NEW_CUSTOMER_ID = 'C0049' WHERE LEGACY_CUSTOMER_ID = 'JESHTMTL' AND DATA_FOLDER_ID = 'sampl'</v>
      </c>
      <c r="F52" t="str">
        <f t="shared" si="1"/>
        <v>Changed</v>
      </c>
      <c r="G52" t="str">
        <f t="shared" si="2"/>
        <v>-</v>
      </c>
    </row>
    <row r="53" spans="1:7" x14ac:dyDescent="0.25">
      <c r="A53" s="2" t="s">
        <v>1</v>
      </c>
      <c r="B53" s="9" t="s">
        <v>475</v>
      </c>
      <c r="C53" t="s">
        <v>1477</v>
      </c>
      <c r="D53" s="5" t="s">
        <v>3205</v>
      </c>
      <c r="E53" t="str">
        <f t="shared" si="0"/>
        <v>UPDATE [MAP].[T_TRANS_CUSTOMER] SET NEW_CUSTOMER_ID = 'C0050' WHERE LEGACY_CUSTOMER_ID = 'JOHNCOLL' AND DATA_FOLDER_ID = 'sampl'</v>
      </c>
      <c r="F53" t="str">
        <f t="shared" si="1"/>
        <v>Changed</v>
      </c>
      <c r="G53" t="str">
        <f t="shared" si="2"/>
        <v>-</v>
      </c>
    </row>
    <row r="54" spans="1:7" x14ac:dyDescent="0.25">
      <c r="A54" s="2" t="s">
        <v>1</v>
      </c>
      <c r="B54" s="9" t="s">
        <v>3089</v>
      </c>
      <c r="C54" t="s">
        <v>3318</v>
      </c>
      <c r="D54" s="5" t="s">
        <v>3206</v>
      </c>
      <c r="E54" t="str">
        <f t="shared" si="0"/>
        <v>UPDATE [MAP].[T_TRANS_CUSTOMER] SET NEW_CUSTOMER_ID = 'C0051' WHERE LEGACY_CUSTOMER_ID = 'JUSHI' AND DATA_FOLDER_ID = 'sampl'</v>
      </c>
      <c r="F54" t="str">
        <f t="shared" si="1"/>
        <v>Changed</v>
      </c>
      <c r="G54" t="str">
        <f t="shared" si="2"/>
        <v>-</v>
      </c>
    </row>
    <row r="55" spans="1:7" x14ac:dyDescent="0.25">
      <c r="A55" s="2" t="s">
        <v>1</v>
      </c>
      <c r="B55" s="9" t="s">
        <v>3090</v>
      </c>
      <c r="C55" t="s">
        <v>3319</v>
      </c>
      <c r="D55" s="5" t="s">
        <v>3207</v>
      </c>
      <c r="E55" t="str">
        <f t="shared" si="0"/>
        <v>UPDATE [MAP].[T_TRANS_CUSTOMER] SET NEW_CUSTOMER_ID = 'C0052' WHERE LEGACY_CUSTOMER_ID = 'KANE' AND DATA_FOLDER_ID = 'sampl'</v>
      </c>
      <c r="F55" t="str">
        <f t="shared" si="1"/>
        <v>Changed</v>
      </c>
      <c r="G55" t="str">
        <f t="shared" si="2"/>
        <v>-</v>
      </c>
    </row>
    <row r="56" spans="1:7" x14ac:dyDescent="0.25">
      <c r="A56" s="2" t="s">
        <v>1</v>
      </c>
      <c r="B56" s="9" t="s">
        <v>3091</v>
      </c>
      <c r="C56" t="s">
        <v>3320</v>
      </c>
      <c r="D56" s="5" t="s">
        <v>3208</v>
      </c>
      <c r="E56" t="str">
        <f t="shared" si="0"/>
        <v>UPDATE [MAP].[T_TRANS_CUSTOMER] SET NEW_CUSTOMER_ID = 'C0053' WHERE LEGACY_CUSTOMER_ID = 'KennedyC' AND DATA_FOLDER_ID = 'sampl'</v>
      </c>
      <c r="F56" t="str">
        <f t="shared" si="1"/>
        <v>Changed</v>
      </c>
      <c r="G56" t="str">
        <f t="shared" si="2"/>
        <v>-</v>
      </c>
    </row>
    <row r="57" spans="1:7" x14ac:dyDescent="0.25">
      <c r="A57" s="2" t="s">
        <v>1</v>
      </c>
      <c r="B57" s="9" t="s">
        <v>3092</v>
      </c>
      <c r="C57" t="s">
        <v>3321</v>
      </c>
      <c r="D57" s="5" t="s">
        <v>3209</v>
      </c>
      <c r="E57" t="str">
        <f t="shared" si="0"/>
        <v>UPDATE [MAP].[T_TRANS_CUSTOMER] SET NEW_CUSTOMER_ID = 'C0054' WHERE LEGACY_CUSTOMER_ID = 'KNAUFINS' AND DATA_FOLDER_ID = 'sampl'</v>
      </c>
      <c r="F57" t="str">
        <f t="shared" si="1"/>
        <v>Changed</v>
      </c>
      <c r="G57" t="str">
        <f t="shared" si="2"/>
        <v>-</v>
      </c>
    </row>
    <row r="58" spans="1:7" x14ac:dyDescent="0.25">
      <c r="A58" s="2" t="s">
        <v>1</v>
      </c>
      <c r="B58" s="9" t="s">
        <v>3093</v>
      </c>
      <c r="C58" t="s">
        <v>3322</v>
      </c>
      <c r="D58" s="5" t="s">
        <v>3210</v>
      </c>
      <c r="E58" t="str">
        <f t="shared" si="0"/>
        <v>UPDATE [MAP].[T_TRANS_CUSTOMER] SET NEW_CUSTOMER_ID = 'C0055' WHERE LEGACY_CUSTOMER_ID = 'KRIGER00' AND DATA_FOLDER_ID = 'sampl'</v>
      </c>
      <c r="F58" t="str">
        <f t="shared" si="1"/>
        <v>Changed</v>
      </c>
      <c r="G58" t="str">
        <f t="shared" si="2"/>
        <v>-</v>
      </c>
    </row>
    <row r="59" spans="1:7" x14ac:dyDescent="0.25">
      <c r="A59" s="2" t="s">
        <v>1</v>
      </c>
      <c r="B59" s="9" t="s">
        <v>3094</v>
      </c>
      <c r="C59" t="s">
        <v>3323</v>
      </c>
      <c r="D59" s="5" t="s">
        <v>3211</v>
      </c>
      <c r="E59" t="str">
        <f t="shared" si="0"/>
        <v>UPDATE [MAP].[T_TRANS_CUSTOMER] SET NEW_CUSTOMER_ID = 'C0056' WHERE LEGACY_CUSTOMER_ID = 'LACEBUIL' AND DATA_FOLDER_ID = 'sampl'</v>
      </c>
      <c r="F59" t="str">
        <f t="shared" si="1"/>
        <v>Changed</v>
      </c>
      <c r="G59" t="str">
        <f t="shared" si="2"/>
        <v>-</v>
      </c>
    </row>
    <row r="60" spans="1:7" x14ac:dyDescent="0.25">
      <c r="A60" s="2" t="s">
        <v>1</v>
      </c>
      <c r="B60" s="9" t="s">
        <v>3095</v>
      </c>
      <c r="C60" t="s">
        <v>3324</v>
      </c>
      <c r="D60" s="5" t="s">
        <v>3212</v>
      </c>
      <c r="E60" t="str">
        <f t="shared" si="0"/>
        <v>UPDATE [MAP].[T_TRANS_CUSTOMER] SET NEW_CUSTOMER_ID = 'C0057' WHERE LEGACY_CUSTOMER_ID = 'LACKAWAN' AND DATA_FOLDER_ID = 'sampl'</v>
      </c>
      <c r="F60" t="str">
        <f t="shared" si="1"/>
        <v>Changed</v>
      </c>
      <c r="G60" t="str">
        <f t="shared" si="2"/>
        <v>-</v>
      </c>
    </row>
    <row r="61" spans="1:7" x14ac:dyDescent="0.25">
      <c r="A61" s="2" t="s">
        <v>1</v>
      </c>
      <c r="B61" s="9" t="s">
        <v>3096</v>
      </c>
      <c r="C61" t="s">
        <v>3325</v>
      </c>
      <c r="D61" s="5" t="s">
        <v>3213</v>
      </c>
      <c r="E61" t="str">
        <f t="shared" si="0"/>
        <v>UPDATE [MAP].[T_TRANS_CUSTOMER] SET NEW_CUSTOMER_ID = 'C0058' WHERE LEGACY_CUSTOMER_ID = 'LACKCOLL' AND DATA_FOLDER_ID = 'sampl'</v>
      </c>
      <c r="F61" t="str">
        <f t="shared" si="1"/>
        <v>Changed</v>
      </c>
      <c r="G61" t="str">
        <f t="shared" si="2"/>
        <v>-</v>
      </c>
    </row>
    <row r="62" spans="1:7" x14ac:dyDescent="0.25">
      <c r="A62" s="2" t="s">
        <v>1</v>
      </c>
      <c r="B62" s="9" t="s">
        <v>3097</v>
      </c>
      <c r="C62" t="s">
        <v>3326</v>
      </c>
      <c r="D62" s="5" t="s">
        <v>3214</v>
      </c>
      <c r="E62" t="str">
        <f t="shared" si="0"/>
        <v>UPDATE [MAP].[T_TRANS_CUSTOMER] SET NEW_CUSTOMER_ID = 'C0059' WHERE LEGACY_CUSTOMER_ID = 'LINCOLNH' AND DATA_FOLDER_ID = 'sampl'</v>
      </c>
      <c r="F62" t="str">
        <f t="shared" si="1"/>
        <v>Changed</v>
      </c>
      <c r="G62" t="str">
        <f t="shared" si="2"/>
        <v>-</v>
      </c>
    </row>
    <row r="63" spans="1:7" x14ac:dyDescent="0.25">
      <c r="A63" s="2" t="s">
        <v>1</v>
      </c>
      <c r="B63" s="9" t="s">
        <v>3098</v>
      </c>
      <c r="C63" t="s">
        <v>3327</v>
      </c>
      <c r="D63" s="5" t="s">
        <v>3215</v>
      </c>
      <c r="E63" t="str">
        <f t="shared" si="0"/>
        <v>UPDATE [MAP].[T_TRANS_CUSTOMER] SET NEW_CUSTOMER_ID = 'C0060' WHERE LEGACY_CUSTOMER_ID = 'LOGOPLAS' AND DATA_FOLDER_ID = 'sampl'</v>
      </c>
      <c r="F63" t="str">
        <f t="shared" si="1"/>
        <v>Changed</v>
      </c>
      <c r="G63" t="str">
        <f t="shared" si="2"/>
        <v>-</v>
      </c>
    </row>
    <row r="64" spans="1:7" x14ac:dyDescent="0.25">
      <c r="A64" s="2" t="s">
        <v>1</v>
      </c>
      <c r="B64" s="9" t="s">
        <v>3099</v>
      </c>
      <c r="C64" t="s">
        <v>1550</v>
      </c>
      <c r="D64" s="5" t="s">
        <v>3216</v>
      </c>
      <c r="E64" t="str">
        <f t="shared" si="0"/>
        <v>UPDATE [MAP].[T_TRANS_CUSTOMER] SET NEW_CUSTOMER_ID = 'C0061' WHERE LEGACY_CUSTOMER_ID = 'LYONS000' AND DATA_FOLDER_ID = 'sampl'</v>
      </c>
      <c r="F64" t="str">
        <f t="shared" si="1"/>
        <v>Changed</v>
      </c>
      <c r="G64" t="str">
        <f t="shared" si="2"/>
        <v>-</v>
      </c>
    </row>
    <row r="65" spans="1:7" x14ac:dyDescent="0.25">
      <c r="A65" s="2" t="s">
        <v>1</v>
      </c>
      <c r="B65" s="9" t="s">
        <v>3100</v>
      </c>
      <c r="C65" t="s">
        <v>3328</v>
      </c>
      <c r="D65" s="5" t="s">
        <v>3217</v>
      </c>
      <c r="E65" t="str">
        <f t="shared" si="0"/>
        <v>UPDATE [MAP].[T_TRANS_CUSTOMER] SET NEW_CUSTOMER_ID = 'C0062' WHERE LEGACY_CUSTOMER_ID = 'MAPLTREE' AND DATA_FOLDER_ID = 'sampl'</v>
      </c>
      <c r="F65" t="str">
        <f t="shared" si="1"/>
        <v>Changed</v>
      </c>
      <c r="G65" t="str">
        <f t="shared" si="2"/>
        <v>-</v>
      </c>
    </row>
    <row r="66" spans="1:7" x14ac:dyDescent="0.25">
      <c r="A66" s="2" t="s">
        <v>1</v>
      </c>
      <c r="B66" s="9" t="s">
        <v>3101</v>
      </c>
      <c r="C66" t="s">
        <v>3329</v>
      </c>
      <c r="D66" s="5" t="s">
        <v>3218</v>
      </c>
      <c r="E66" t="str">
        <f t="shared" si="0"/>
        <v>UPDATE [MAP].[T_TRANS_CUSTOMER] SET NEW_CUSTOMER_ID = 'C0063' WHERE LEGACY_CUSTOMER_ID = 'MASSELEC' AND DATA_FOLDER_ID = 'sampl'</v>
      </c>
      <c r="F66" t="str">
        <f t="shared" si="1"/>
        <v>Changed</v>
      </c>
      <c r="G66" t="str">
        <f t="shared" si="2"/>
        <v>-</v>
      </c>
    </row>
    <row r="67" spans="1:7" x14ac:dyDescent="0.25">
      <c r="A67" s="2" t="s">
        <v>1</v>
      </c>
      <c r="B67" s="9" t="s">
        <v>3102</v>
      </c>
      <c r="C67" t="s">
        <v>3330</v>
      </c>
      <c r="D67" s="5" t="s">
        <v>3219</v>
      </c>
      <c r="E67" t="str">
        <f t="shared" si="0"/>
        <v>UPDATE [MAP].[T_TRANS_CUSTOMER] SET NEW_CUSTOMER_ID = 'C0064' WHERE LEGACY_CUSTOMER_ID = 'MATRIXNA' AND DATA_FOLDER_ID = 'sampl'</v>
      </c>
      <c r="F67" t="str">
        <f t="shared" si="1"/>
        <v>Changed</v>
      </c>
      <c r="G67" t="str">
        <f t="shared" si="2"/>
        <v>-</v>
      </c>
    </row>
    <row r="68" spans="1:7" x14ac:dyDescent="0.25">
      <c r="A68" s="2" t="s">
        <v>1</v>
      </c>
      <c r="B68" s="9" t="s">
        <v>3103</v>
      </c>
      <c r="C68" t="s">
        <v>1574</v>
      </c>
      <c r="D68" s="5" t="s">
        <v>3220</v>
      </c>
      <c r="E68" t="str">
        <f t="shared" si="0"/>
        <v>UPDATE [MAP].[T_TRANS_CUSTOMER] SET NEW_CUSTOMER_ID = 'C0065' WHERE LEGACY_CUSTOMER_ID = 'McDal' AND DATA_FOLDER_ID = 'sampl'</v>
      </c>
      <c r="F68" t="str">
        <f t="shared" si="1"/>
        <v>Changed</v>
      </c>
      <c r="G68" t="str">
        <f t="shared" si="2"/>
        <v>-</v>
      </c>
    </row>
    <row r="69" spans="1:7" x14ac:dyDescent="0.25">
      <c r="A69" s="2" t="s">
        <v>1</v>
      </c>
      <c r="B69" s="9" t="s">
        <v>3104</v>
      </c>
      <c r="C69" t="s">
        <v>3331</v>
      </c>
      <c r="D69" s="5" t="s">
        <v>3221</v>
      </c>
      <c r="E69" t="str">
        <f t="shared" ref="E69:E126" si="3">"UPDATE "&amp;$E$3&amp;" SET NEW_CUSTOMER_ID = '"&amp;D69&amp;"' WHERE LEGACY_CUSTOMER_ID = '"&amp;B69&amp;"' AND DATA_FOLDER_ID = '"&amp;$A69&amp;"'"</f>
        <v>UPDATE [MAP].[T_TRANS_CUSTOMER] SET NEW_CUSTOMER_ID = 'C0066' WHERE LEGACY_CUSTOMER_ID = 'METROLIF' AND DATA_FOLDER_ID = 'sampl'</v>
      </c>
      <c r="F69" t="str">
        <f t="shared" ref="F69:F126" si="4">IF(B69&lt;&gt;D69,"Changed","-")</f>
        <v>Changed</v>
      </c>
      <c r="G69" t="str">
        <f t="shared" ref="G69:G126" si="5">IF(B69="","Hide","-")</f>
        <v>-</v>
      </c>
    </row>
    <row r="70" spans="1:7" x14ac:dyDescent="0.25">
      <c r="A70" s="2" t="s">
        <v>1</v>
      </c>
      <c r="B70" s="9" t="s">
        <v>3105</v>
      </c>
      <c r="C70" t="s">
        <v>3332</v>
      </c>
      <c r="D70" s="5" t="s">
        <v>3222</v>
      </c>
      <c r="E70" t="str">
        <f t="shared" si="3"/>
        <v>UPDATE [MAP].[T_TRANS_CUSTOMER] SET NEW_CUSTOMER_ID = 'C0067' WHERE LEGACY_CUSTOMER_ID = 'MILLERVA' AND DATA_FOLDER_ID = 'sampl'</v>
      </c>
      <c r="F70" t="str">
        <f t="shared" si="4"/>
        <v>Changed</v>
      </c>
      <c r="G70" t="str">
        <f t="shared" si="5"/>
        <v>-</v>
      </c>
    </row>
    <row r="71" spans="1:7" x14ac:dyDescent="0.25">
      <c r="A71" s="2" t="s">
        <v>1</v>
      </c>
      <c r="B71" s="9" t="s">
        <v>3106</v>
      </c>
      <c r="C71" t="s">
        <v>3333</v>
      </c>
      <c r="D71" s="5" t="s">
        <v>3223</v>
      </c>
      <c r="E71" t="str">
        <f t="shared" si="3"/>
        <v>UPDATE [MAP].[T_TRANS_CUSTOMER] SET NEW_CUSTOMER_ID = 'C0068' WHERE LEGACY_CUSTOMER_ID = 'MTF00000' AND DATA_FOLDER_ID = 'sampl'</v>
      </c>
      <c r="F71" t="str">
        <f t="shared" si="4"/>
        <v>Changed</v>
      </c>
      <c r="G71" t="str">
        <f t="shared" si="5"/>
        <v>-</v>
      </c>
    </row>
    <row r="72" spans="1:7" x14ac:dyDescent="0.25">
      <c r="A72" s="2" t="s">
        <v>1</v>
      </c>
      <c r="B72" s="9" t="s">
        <v>3107</v>
      </c>
      <c r="C72" t="s">
        <v>3334</v>
      </c>
      <c r="D72" s="5" t="s">
        <v>3224</v>
      </c>
      <c r="E72" t="str">
        <f t="shared" si="3"/>
        <v>UPDATE [MAP].[T_TRANS_CUSTOMER] SET NEW_CUSTOMER_ID = 'C0069' WHERE LEGACY_CUSTOMER_ID = 'NAMMOPOC' AND DATA_FOLDER_ID = 'sampl'</v>
      </c>
      <c r="F72" t="str">
        <f t="shared" si="4"/>
        <v>Changed</v>
      </c>
      <c r="G72" t="str">
        <f t="shared" si="5"/>
        <v>-</v>
      </c>
    </row>
    <row r="73" spans="1:7" x14ac:dyDescent="0.25">
      <c r="A73" s="2" t="s">
        <v>1</v>
      </c>
      <c r="B73" s="9" t="s">
        <v>3108</v>
      </c>
      <c r="C73" t="s">
        <v>3335</v>
      </c>
      <c r="D73" s="5" t="s">
        <v>3225</v>
      </c>
      <c r="E73" t="str">
        <f t="shared" si="3"/>
        <v>UPDATE [MAP].[T_TRANS_CUSTOMER] SET NEW_CUSTOMER_ID = 'C0070' WHERE LEGACY_CUSTOMER_ID = 'NATIONAL' AND DATA_FOLDER_ID = 'sampl'</v>
      </c>
      <c r="F73" t="str">
        <f t="shared" si="4"/>
        <v>Changed</v>
      </c>
      <c r="G73" t="str">
        <f t="shared" si="5"/>
        <v>-</v>
      </c>
    </row>
    <row r="74" spans="1:7" x14ac:dyDescent="0.25">
      <c r="A74" s="2" t="s">
        <v>1</v>
      </c>
      <c r="B74" s="9" t="s">
        <v>3109</v>
      </c>
      <c r="C74" t="s">
        <v>3336</v>
      </c>
      <c r="D74" s="5" t="s">
        <v>3226</v>
      </c>
      <c r="E74" t="str">
        <f t="shared" si="3"/>
        <v>UPDATE [MAP].[T_TRANS_CUSTOMER] SET NEW_CUSTOMER_ID = 'C0071' WHERE LEGACY_CUSTOMER_ID = 'NAUTILUS' AND DATA_FOLDER_ID = 'sampl'</v>
      </c>
      <c r="F74" t="str">
        <f t="shared" si="4"/>
        <v>Changed</v>
      </c>
      <c r="G74" t="str">
        <f t="shared" si="5"/>
        <v>-</v>
      </c>
    </row>
    <row r="75" spans="1:7" x14ac:dyDescent="0.25">
      <c r="A75" s="2" t="s">
        <v>1</v>
      </c>
      <c r="B75" s="9" t="s">
        <v>3110</v>
      </c>
      <c r="C75" t="s">
        <v>1632</v>
      </c>
      <c r="D75" s="5" t="s">
        <v>3227</v>
      </c>
      <c r="E75" t="str">
        <f t="shared" si="3"/>
        <v>UPDATE [MAP].[T_TRANS_CUSTOMER] SET NEW_CUSTOMER_ID = 'C0072' WHERE LEGACY_CUSTOMER_ID = 'NESITE' AND DATA_FOLDER_ID = 'sampl'</v>
      </c>
      <c r="F75" t="str">
        <f t="shared" si="4"/>
        <v>Changed</v>
      </c>
      <c r="G75" t="str">
        <f t="shared" si="5"/>
        <v>-</v>
      </c>
    </row>
    <row r="76" spans="1:7" x14ac:dyDescent="0.25">
      <c r="A76" s="2" t="s">
        <v>1</v>
      </c>
      <c r="B76" s="9" t="s">
        <v>631</v>
      </c>
      <c r="C76" t="s">
        <v>1632</v>
      </c>
      <c r="D76" s="5" t="s">
        <v>3228</v>
      </c>
      <c r="E76" t="str">
        <f t="shared" si="3"/>
        <v>UPDATE [MAP].[T_TRANS_CUSTOMER] SET NEW_CUSTOMER_ID = 'C0073' WHERE LEGACY_CUSTOMER_ID = 'NESITECO' AND DATA_FOLDER_ID = 'sampl'</v>
      </c>
      <c r="F76" t="str">
        <f t="shared" si="4"/>
        <v>Changed</v>
      </c>
      <c r="G76" t="str">
        <f t="shared" si="5"/>
        <v>-</v>
      </c>
    </row>
    <row r="77" spans="1:7" x14ac:dyDescent="0.25">
      <c r="A77" s="2" t="s">
        <v>1</v>
      </c>
      <c r="B77" s="9" t="s">
        <v>646</v>
      </c>
      <c r="C77" t="s">
        <v>1647</v>
      </c>
      <c r="D77" s="5" t="s">
        <v>3229</v>
      </c>
      <c r="E77" t="str">
        <f t="shared" si="3"/>
        <v>UPDATE [MAP].[T_TRANS_CUSTOMER] SET NEW_CUSTOMER_ID = 'C0074' WHERE LEGACY_CUSTOMER_ID = 'NOTOELEC' AND DATA_FOLDER_ID = 'sampl'</v>
      </c>
      <c r="F77" t="str">
        <f t="shared" si="4"/>
        <v>Changed</v>
      </c>
      <c r="G77" t="str">
        <f t="shared" si="5"/>
        <v>-</v>
      </c>
    </row>
    <row r="78" spans="1:7" x14ac:dyDescent="0.25">
      <c r="A78" s="2" t="s">
        <v>1</v>
      </c>
      <c r="B78" s="9" t="s">
        <v>3111</v>
      </c>
      <c r="C78" t="s">
        <v>3337</v>
      </c>
      <c r="D78" s="5" t="s">
        <v>3230</v>
      </c>
      <c r="E78" t="str">
        <f t="shared" si="3"/>
        <v>UPDATE [MAP].[T_TRANS_CUSTOMER] SET NEW_CUSTOMER_ID = 'C0075' WHERE LEGACY_CUSTOMER_ID = 'NUCOR' AND DATA_FOLDER_ID = 'sampl'</v>
      </c>
      <c r="F78" t="str">
        <f t="shared" si="4"/>
        <v>Changed</v>
      </c>
      <c r="G78" t="str">
        <f t="shared" si="5"/>
        <v>-</v>
      </c>
    </row>
    <row r="79" spans="1:7" x14ac:dyDescent="0.25">
      <c r="A79" s="2" t="s">
        <v>1</v>
      </c>
      <c r="B79" s="9" t="s">
        <v>3112</v>
      </c>
      <c r="C79" t="s">
        <v>3338</v>
      </c>
      <c r="D79" s="5" t="s">
        <v>3231</v>
      </c>
      <c r="E79" t="str">
        <f t="shared" si="3"/>
        <v>UPDATE [MAP].[T_TRANS_CUSTOMER] SET NEW_CUSTOMER_ID = 'C0076' WHERE LEGACY_CUSTOMER_ID = 'OFFICEO' AND DATA_FOLDER_ID = 'sampl'</v>
      </c>
      <c r="F79" t="str">
        <f t="shared" si="4"/>
        <v>Changed</v>
      </c>
      <c r="G79" t="str">
        <f t="shared" si="5"/>
        <v>-</v>
      </c>
    </row>
    <row r="80" spans="1:7" x14ac:dyDescent="0.25">
      <c r="A80" s="2" t="s">
        <v>1</v>
      </c>
      <c r="B80" s="9" t="s">
        <v>3113</v>
      </c>
      <c r="C80" t="s">
        <v>3339</v>
      </c>
      <c r="D80" s="5" t="s">
        <v>3232</v>
      </c>
      <c r="E80" t="str">
        <f t="shared" si="3"/>
        <v>UPDATE [MAP].[T_TRANS_CUSTOMER] SET NEW_CUSTOMER_ID = 'C0077' WHERE LEGACY_CUSTOMER_ID = 'OMMULTI' AND DATA_FOLDER_ID = 'sampl'</v>
      </c>
      <c r="F80" t="str">
        <f t="shared" si="4"/>
        <v>Changed</v>
      </c>
      <c r="G80" t="str">
        <f t="shared" si="5"/>
        <v>-</v>
      </c>
    </row>
    <row r="81" spans="1:7" x14ac:dyDescent="0.25">
      <c r="A81" s="2" t="s">
        <v>1</v>
      </c>
      <c r="B81" s="9" t="s">
        <v>3114</v>
      </c>
      <c r="C81" t="s">
        <v>3340</v>
      </c>
      <c r="D81" s="5" t="s">
        <v>3233</v>
      </c>
      <c r="E81" t="str">
        <f t="shared" si="3"/>
        <v>UPDATE [MAP].[T_TRANS_CUSTOMER] SET NEW_CUSTOMER_ID = 'C0078' WHERE LEGACY_CUSTOMER_ID = 'PAAMERWA' AND DATA_FOLDER_ID = 'sampl'</v>
      </c>
      <c r="F81" t="str">
        <f t="shared" si="4"/>
        <v>Changed</v>
      </c>
      <c r="G81" t="str">
        <f t="shared" si="5"/>
        <v>-</v>
      </c>
    </row>
    <row r="82" spans="1:7" x14ac:dyDescent="0.25">
      <c r="A82" s="2" t="s">
        <v>1</v>
      </c>
      <c r="B82" s="9" t="s">
        <v>3115</v>
      </c>
      <c r="C82" t="s">
        <v>3341</v>
      </c>
      <c r="D82" s="5" t="s">
        <v>3234</v>
      </c>
      <c r="E82" t="str">
        <f t="shared" si="3"/>
        <v>UPDATE [MAP].[T_TRANS_CUSTOMER] SET NEW_CUSTOMER_ID = 'C0079' WHERE LEGACY_CUSTOMER_ID = 'PAHUTCHI' AND DATA_FOLDER_ID = 'sampl'</v>
      </c>
      <c r="F82" t="str">
        <f t="shared" si="4"/>
        <v>Changed</v>
      </c>
      <c r="G82" t="str">
        <f t="shared" si="5"/>
        <v>-</v>
      </c>
    </row>
    <row r="83" spans="1:7" x14ac:dyDescent="0.25">
      <c r="A83" s="2" t="s">
        <v>1</v>
      </c>
      <c r="B83" s="9" t="s">
        <v>3116</v>
      </c>
      <c r="C83" t="s">
        <v>3342</v>
      </c>
      <c r="D83" s="5" t="s">
        <v>3235</v>
      </c>
      <c r="E83" t="str">
        <f t="shared" si="3"/>
        <v>UPDATE [MAP].[T_TRANS_CUSTOMER] SET NEW_CUSTOMER_ID = 'C0080' WHERE LEGACY_CUSTOMER_ID = 'PENNDOT' AND DATA_FOLDER_ID = 'sampl'</v>
      </c>
      <c r="F83" t="str">
        <f t="shared" si="4"/>
        <v>Changed</v>
      </c>
      <c r="G83" t="str">
        <f t="shared" si="5"/>
        <v>-</v>
      </c>
    </row>
    <row r="84" spans="1:7" x14ac:dyDescent="0.25">
      <c r="A84" s="2" t="s">
        <v>1</v>
      </c>
      <c r="B84" s="9" t="s">
        <v>698</v>
      </c>
      <c r="C84" t="s">
        <v>1698</v>
      </c>
      <c r="D84" s="5" t="s">
        <v>3236</v>
      </c>
      <c r="E84" t="str">
        <f t="shared" si="3"/>
        <v>UPDATE [MAP].[T_TRANS_CUSTOMER] SET NEW_CUSTOMER_ID = 'C0081' WHERE LEGACY_CUSTOMER_ID = 'PG000000' AND DATA_FOLDER_ID = 'sampl'</v>
      </c>
      <c r="F84" t="str">
        <f t="shared" si="4"/>
        <v>Changed</v>
      </c>
      <c r="G84" t="str">
        <f t="shared" si="5"/>
        <v>-</v>
      </c>
    </row>
    <row r="85" spans="1:7" x14ac:dyDescent="0.25">
      <c r="A85" s="2" t="s">
        <v>1</v>
      </c>
      <c r="B85" s="9" t="s">
        <v>3117</v>
      </c>
      <c r="C85" t="s">
        <v>3343</v>
      </c>
      <c r="D85" s="5" t="s">
        <v>3237</v>
      </c>
      <c r="E85" t="str">
        <f t="shared" si="3"/>
        <v>UPDATE [MAP].[T_TRANS_CUSTOMER] SET NEW_CUSTOMER_ID = 'C0082' WHERE LEGACY_CUSTOMER_ID = 'PNC00000' AND DATA_FOLDER_ID = 'sampl'</v>
      </c>
      <c r="F85" t="str">
        <f t="shared" si="4"/>
        <v>Changed</v>
      </c>
      <c r="G85" t="str">
        <f t="shared" si="5"/>
        <v>-</v>
      </c>
    </row>
    <row r="86" spans="1:7" x14ac:dyDescent="0.25">
      <c r="A86" s="2" t="s">
        <v>1</v>
      </c>
      <c r="B86" s="9" t="s">
        <v>3118</v>
      </c>
      <c r="C86" t="s">
        <v>3344</v>
      </c>
      <c r="D86" s="5" t="s">
        <v>3238</v>
      </c>
      <c r="E86" t="str">
        <f t="shared" si="3"/>
        <v>UPDATE [MAP].[T_TRANS_CUSTOMER] SET NEW_CUSTOMER_ID = 'C0083' WHERE LEGACY_CUSTOMER_ID = 'POLYGLAS' AND DATA_FOLDER_ID = 'sampl'</v>
      </c>
      <c r="F86" t="str">
        <f t="shared" si="4"/>
        <v>Changed</v>
      </c>
      <c r="G86" t="str">
        <f t="shared" si="5"/>
        <v>-</v>
      </c>
    </row>
    <row r="87" spans="1:7" x14ac:dyDescent="0.25">
      <c r="A87" s="2" t="s">
        <v>1</v>
      </c>
      <c r="B87" s="9" t="s">
        <v>3119</v>
      </c>
      <c r="C87" t="s">
        <v>3345</v>
      </c>
      <c r="D87" s="5" t="s">
        <v>3239</v>
      </c>
      <c r="E87" t="str">
        <f t="shared" si="3"/>
        <v>UPDATE [MAP].[T_TRANS_CUSTOMER] SET NEW_CUSTOMER_ID = 'C0084' WHERE LEGACY_CUSTOMER_ID = 'PPFUALOC' AND DATA_FOLDER_ID = 'sampl'</v>
      </c>
      <c r="F87" t="str">
        <f t="shared" si="4"/>
        <v>Changed</v>
      </c>
      <c r="G87" t="str">
        <f t="shared" si="5"/>
        <v>-</v>
      </c>
    </row>
    <row r="88" spans="1:7" x14ac:dyDescent="0.25">
      <c r="A88" s="2" t="s">
        <v>1</v>
      </c>
      <c r="B88" s="9" t="s">
        <v>3120</v>
      </c>
      <c r="C88" t="s">
        <v>3346</v>
      </c>
      <c r="D88" s="5" t="s">
        <v>3240</v>
      </c>
      <c r="E88" t="str">
        <f t="shared" si="3"/>
        <v>UPDATE [MAP].[T_TRANS_CUSTOMER] SET NEW_CUSTOMER_ID = 'C0085' WHERE LEGACY_CUSTOMER_ID = 'PRUDINSU' AND DATA_FOLDER_ID = 'sampl'</v>
      </c>
      <c r="F88" t="str">
        <f t="shared" si="4"/>
        <v>Changed</v>
      </c>
      <c r="G88" t="str">
        <f t="shared" si="5"/>
        <v>-</v>
      </c>
    </row>
    <row r="89" spans="1:7" x14ac:dyDescent="0.25">
      <c r="A89" s="2" t="s">
        <v>1</v>
      </c>
      <c r="B89" s="9" t="s">
        <v>3121</v>
      </c>
      <c r="C89" t="s">
        <v>3347</v>
      </c>
      <c r="D89" s="5" t="s">
        <v>3241</v>
      </c>
      <c r="E89" t="str">
        <f t="shared" si="3"/>
        <v>UPDATE [MAP].[T_TRANS_CUSTOMER] SET NEW_CUSTOMER_ID = 'C0086' WHERE LEGACY_CUSTOMER_ID = 'ROCKWOOL' AND DATA_FOLDER_ID = 'sampl'</v>
      </c>
      <c r="F89" t="str">
        <f t="shared" si="4"/>
        <v>Changed</v>
      </c>
      <c r="G89" t="str">
        <f t="shared" si="5"/>
        <v>-</v>
      </c>
    </row>
    <row r="90" spans="1:7" x14ac:dyDescent="0.25">
      <c r="A90" s="2" t="s">
        <v>1</v>
      </c>
      <c r="B90" s="9" t="s">
        <v>3122</v>
      </c>
      <c r="C90" t="s">
        <v>3348</v>
      </c>
      <c r="D90" s="5" t="s">
        <v>3242</v>
      </c>
      <c r="E90" t="str">
        <f t="shared" si="3"/>
        <v>UPDATE [MAP].[T_TRANS_CUSTOMER] SET NEW_CUSTOMER_ID = 'C0087' WHERE LEGACY_CUSTOMER_ID = 'ROGERORL' AND DATA_FOLDER_ID = 'sampl'</v>
      </c>
      <c r="F90" t="str">
        <f t="shared" si="4"/>
        <v>Changed</v>
      </c>
      <c r="G90" t="str">
        <f t="shared" si="5"/>
        <v>-</v>
      </c>
    </row>
    <row r="91" spans="1:7" x14ac:dyDescent="0.25">
      <c r="A91" s="2" t="s">
        <v>1</v>
      </c>
      <c r="B91" s="9" t="s">
        <v>3123</v>
      </c>
      <c r="C91" t="s">
        <v>3349</v>
      </c>
      <c r="D91" s="5" t="s">
        <v>3243</v>
      </c>
      <c r="E91" t="str">
        <f t="shared" si="3"/>
        <v>UPDATE [MAP].[T_TRANS_CUSTOMER] SET NEW_CUSTOMER_ID = 'C0088' WHERE LEGACY_CUSTOMER_ID = 'RTE116W' AND DATA_FOLDER_ID = 'sampl'</v>
      </c>
      <c r="F91" t="str">
        <f t="shared" si="4"/>
        <v>Changed</v>
      </c>
      <c r="G91" t="str">
        <f t="shared" si="5"/>
        <v>-</v>
      </c>
    </row>
    <row r="92" spans="1:7" x14ac:dyDescent="0.25">
      <c r="A92" s="2" t="s">
        <v>1</v>
      </c>
      <c r="B92" s="9" t="s">
        <v>3124</v>
      </c>
      <c r="C92" t="s">
        <v>3350</v>
      </c>
      <c r="D92" s="5" t="s">
        <v>3244</v>
      </c>
      <c r="E92" t="str">
        <f t="shared" si="3"/>
        <v>UPDATE [MAP].[T_TRANS_CUSTOMER] SET NEW_CUSTOMER_ID = 'C0089' WHERE LEGACY_CUSTOMER_ID = 'SANOFI00' AND DATA_FOLDER_ID = 'sampl'</v>
      </c>
      <c r="F92" t="str">
        <f t="shared" si="4"/>
        <v>Changed</v>
      </c>
      <c r="G92" t="str">
        <f t="shared" si="5"/>
        <v>-</v>
      </c>
    </row>
    <row r="93" spans="1:7" x14ac:dyDescent="0.25">
      <c r="A93" s="2" t="s">
        <v>1</v>
      </c>
      <c r="B93" s="9" t="s">
        <v>3125</v>
      </c>
      <c r="C93" t="s">
        <v>3351</v>
      </c>
      <c r="D93" s="5" t="s">
        <v>3245</v>
      </c>
      <c r="E93" t="str">
        <f t="shared" si="3"/>
        <v>UPDATE [MAP].[T_TRANS_CUSTOMER] SET NEW_CUSTOMER_ID = 'C0090' WHERE LEGACY_CUSTOMER_ID = 'SCRCULTU' AND DATA_FOLDER_ID = 'sampl'</v>
      </c>
      <c r="F93" t="str">
        <f t="shared" si="4"/>
        <v>Changed</v>
      </c>
      <c r="G93" t="str">
        <f t="shared" si="5"/>
        <v>-</v>
      </c>
    </row>
    <row r="94" spans="1:7" x14ac:dyDescent="0.25">
      <c r="A94" s="2" t="s">
        <v>1</v>
      </c>
      <c r="B94" s="9" t="s">
        <v>3126</v>
      </c>
      <c r="C94" t="s">
        <v>3352</v>
      </c>
      <c r="D94" s="5" t="s">
        <v>3246</v>
      </c>
      <c r="E94" t="str">
        <f t="shared" si="3"/>
        <v>UPDATE [MAP].[T_TRANS_CUSTOMER] SET NEW_CUSTOMER_ID = 'C0091' WHERE LEGACY_CUSTOMER_ID = 'SEVENUP' AND DATA_FOLDER_ID = 'sampl'</v>
      </c>
      <c r="F94" t="str">
        <f t="shared" si="4"/>
        <v>Changed</v>
      </c>
      <c r="G94" t="str">
        <f t="shared" si="5"/>
        <v>-</v>
      </c>
    </row>
    <row r="95" spans="1:7" x14ac:dyDescent="0.25">
      <c r="A95" s="2" t="s">
        <v>1</v>
      </c>
      <c r="B95" s="9" t="s">
        <v>3127</v>
      </c>
      <c r="C95" t="s">
        <v>3353</v>
      </c>
      <c r="D95" s="5" t="s">
        <v>3247</v>
      </c>
      <c r="E95" t="str">
        <f t="shared" si="3"/>
        <v>UPDATE [MAP].[T_TRANS_CUSTOMER] SET NEW_CUSTOMER_ID = 'C0092' WHERE LEGACY_CUSTOMER_ID = 'SPMCCARL' AND DATA_FOLDER_ID = 'sampl'</v>
      </c>
      <c r="F95" t="str">
        <f t="shared" si="4"/>
        <v>Changed</v>
      </c>
      <c r="G95" t="str">
        <f t="shared" si="5"/>
        <v>-</v>
      </c>
    </row>
    <row r="96" spans="1:7" x14ac:dyDescent="0.25">
      <c r="A96" s="2" t="s">
        <v>1</v>
      </c>
      <c r="B96" s="9" t="s">
        <v>3128</v>
      </c>
      <c r="C96" t="s">
        <v>3354</v>
      </c>
      <c r="D96" s="5" t="s">
        <v>3248</v>
      </c>
      <c r="E96" t="str">
        <f t="shared" si="3"/>
        <v>UPDATE [MAP].[T_TRANS_CUSTOMER] SET NEW_CUSTOMER_ID = 'C0093' WHERE LEGACY_CUSTOMER_ID = 'SPROUL' AND DATA_FOLDER_ID = 'sampl'</v>
      </c>
      <c r="F96" t="str">
        <f t="shared" si="4"/>
        <v>Changed</v>
      </c>
      <c r="G96" t="str">
        <f t="shared" si="5"/>
        <v>-</v>
      </c>
    </row>
    <row r="97" spans="1:7" x14ac:dyDescent="0.25">
      <c r="A97" s="2" t="s">
        <v>1</v>
      </c>
      <c r="B97" s="9" t="s">
        <v>850</v>
      </c>
      <c r="C97" t="s">
        <v>1850</v>
      </c>
      <c r="D97" s="5" t="s">
        <v>3249</v>
      </c>
      <c r="E97" t="str">
        <f t="shared" si="3"/>
        <v>UPDATE [MAP].[T_TRANS_CUSTOMER] SET NEW_CUSTOMER_ID = 'C0094' WHERE LEGACY_CUSTOMER_ID = 'STANTECC' AND DATA_FOLDER_ID = 'sampl'</v>
      </c>
      <c r="F97" t="str">
        <f t="shared" si="4"/>
        <v>Changed</v>
      </c>
      <c r="G97" t="str">
        <f t="shared" si="5"/>
        <v>-</v>
      </c>
    </row>
    <row r="98" spans="1:7" x14ac:dyDescent="0.25">
      <c r="A98" s="2" t="s">
        <v>1</v>
      </c>
      <c r="B98" s="9" t="s">
        <v>3129</v>
      </c>
      <c r="C98" t="s">
        <v>3355</v>
      </c>
      <c r="D98" s="5" t="s">
        <v>3250</v>
      </c>
      <c r="E98" t="str">
        <f t="shared" si="3"/>
        <v>UPDATE [MAP].[T_TRANS_CUSTOMER] SET NEW_CUSTOMER_ID = 'C0095' WHERE LEGACY_CUSTOMER_ID = 'THREE' AND DATA_FOLDER_ID = 'sampl'</v>
      </c>
      <c r="F98" t="str">
        <f t="shared" si="4"/>
        <v>Changed</v>
      </c>
      <c r="G98" t="str">
        <f t="shared" si="5"/>
        <v>-</v>
      </c>
    </row>
    <row r="99" spans="1:7" x14ac:dyDescent="0.25">
      <c r="A99" s="2" t="s">
        <v>1</v>
      </c>
      <c r="B99" s="9" t="s">
        <v>3130</v>
      </c>
      <c r="C99" t="s">
        <v>3356</v>
      </c>
      <c r="D99" s="5" t="s">
        <v>3251</v>
      </c>
      <c r="E99" t="str">
        <f t="shared" si="3"/>
        <v>UPDATE [MAP].[T_TRANS_CUSTOMER] SET NEW_CUSTOMER_ID = 'C0096' WHERE LEGACY_CUSTOMER_ID = 'TRACEYRO' AND DATA_FOLDER_ID = 'sampl'</v>
      </c>
      <c r="F99" t="str">
        <f t="shared" si="4"/>
        <v>Changed</v>
      </c>
      <c r="G99" t="str">
        <f t="shared" si="5"/>
        <v>-</v>
      </c>
    </row>
    <row r="100" spans="1:7" x14ac:dyDescent="0.25">
      <c r="A100" s="2" t="s">
        <v>1</v>
      </c>
      <c r="B100" s="9" t="s">
        <v>956</v>
      </c>
      <c r="C100" t="s">
        <v>3357</v>
      </c>
      <c r="D100" s="5" t="s">
        <v>3252</v>
      </c>
      <c r="E100" t="str">
        <f t="shared" si="3"/>
        <v>UPDATE [MAP].[T_TRANS_CUSTOMER] SET NEW_CUSTOMER_ID = 'C0097' WHERE LEGACY_CUSTOMER_ID = 'TURNERCO' AND DATA_FOLDER_ID = 'sampl'</v>
      </c>
      <c r="F100" t="str">
        <f t="shared" si="4"/>
        <v>Changed</v>
      </c>
      <c r="G100" t="str">
        <f t="shared" si="5"/>
        <v>-</v>
      </c>
    </row>
    <row r="101" spans="1:7" x14ac:dyDescent="0.25">
      <c r="A101" s="2" t="s">
        <v>1</v>
      </c>
      <c r="B101" s="9" t="s">
        <v>3131</v>
      </c>
      <c r="C101" t="s">
        <v>3358</v>
      </c>
      <c r="D101" s="5" t="s">
        <v>3253</v>
      </c>
      <c r="E101" t="str">
        <f t="shared" si="3"/>
        <v>UPDATE [MAP].[T_TRANS_CUSTOMER] SET NEW_CUSTOMER_ID = 'C0098' WHERE LEGACY_CUSTOMER_ID = 'UFPPACK' AND DATA_FOLDER_ID = 'sampl'</v>
      </c>
      <c r="F101" t="str">
        <f t="shared" si="4"/>
        <v>Changed</v>
      </c>
      <c r="G101" t="str">
        <f t="shared" si="5"/>
        <v>-</v>
      </c>
    </row>
    <row r="102" spans="1:7" x14ac:dyDescent="0.25">
      <c r="A102" s="2" t="s">
        <v>1</v>
      </c>
      <c r="B102" s="9" t="s">
        <v>3132</v>
      </c>
      <c r="C102" t="s">
        <v>3359</v>
      </c>
      <c r="D102" s="5" t="s">
        <v>3254</v>
      </c>
      <c r="E102" t="str">
        <f t="shared" si="3"/>
        <v>UPDATE [MAP].[T_TRANS_CUSTOMER] SET NEW_CUSTOMER_ID = 'C0099' WHERE LEGACY_CUSTOMER_ID = 'UPSI0000' AND DATA_FOLDER_ID = 'sampl'</v>
      </c>
      <c r="F102" t="str">
        <f t="shared" si="4"/>
        <v>Changed</v>
      </c>
      <c r="G102" t="str">
        <f t="shared" si="5"/>
        <v>-</v>
      </c>
    </row>
    <row r="103" spans="1:7" x14ac:dyDescent="0.25">
      <c r="A103" s="2" t="s">
        <v>1</v>
      </c>
      <c r="B103" s="9" t="s">
        <v>3133</v>
      </c>
      <c r="C103" t="s">
        <v>3360</v>
      </c>
      <c r="D103" s="5" t="s">
        <v>3255</v>
      </c>
      <c r="E103" t="str">
        <f t="shared" si="3"/>
        <v>UPDATE [MAP].[T_TRANS_CUSTOMER] SET NEW_CUSTOMER_ID = 'C0100' WHERE LEGACY_CUSTOMER_ID = 'VALMETIN' AND DATA_FOLDER_ID = 'sampl'</v>
      </c>
      <c r="F103" t="str">
        <f t="shared" si="4"/>
        <v>Changed</v>
      </c>
      <c r="G103" t="str">
        <f t="shared" si="5"/>
        <v>-</v>
      </c>
    </row>
    <row r="104" spans="1:7" x14ac:dyDescent="0.25">
      <c r="A104" s="2" t="s">
        <v>1</v>
      </c>
      <c r="B104" s="9" t="s">
        <v>3134</v>
      </c>
      <c r="C104" t="s">
        <v>3361</v>
      </c>
      <c r="D104" s="5" t="s">
        <v>3256</v>
      </c>
      <c r="E104" t="str">
        <f t="shared" si="3"/>
        <v>UPDATE [MAP].[T_TRANS_CUSTOMER] SET NEW_CUSTOMER_ID = 'C0101' WHERE LEGACY_CUSTOMER_ID = 'VARIGGER' AND DATA_FOLDER_ID = 'sampl'</v>
      </c>
      <c r="F104" t="str">
        <f t="shared" si="4"/>
        <v>Changed</v>
      </c>
      <c r="G104" t="str">
        <f t="shared" si="5"/>
        <v>-</v>
      </c>
    </row>
    <row r="105" spans="1:7" x14ac:dyDescent="0.25">
      <c r="A105" s="2" t="s">
        <v>1</v>
      </c>
      <c r="B105" s="9" t="s">
        <v>3135</v>
      </c>
      <c r="C105" t="s">
        <v>3362</v>
      </c>
      <c r="D105" s="5" t="s">
        <v>3257</v>
      </c>
      <c r="E105" t="str">
        <f t="shared" si="3"/>
        <v>UPDATE [MAP].[T_TRANS_CUSTOMER] SET NEW_CUSTOMER_ID = 'C0102' WHERE LEGACY_CUSTOMER_ID = 'WELLSFAR' AND DATA_FOLDER_ID = 'sampl'</v>
      </c>
      <c r="F105" t="str">
        <f t="shared" si="4"/>
        <v>Changed</v>
      </c>
      <c r="G105" t="str">
        <f t="shared" si="5"/>
        <v>-</v>
      </c>
    </row>
    <row r="106" spans="1:7" x14ac:dyDescent="0.25">
      <c r="A106" s="2" t="s">
        <v>1</v>
      </c>
      <c r="B106" s="9" t="s">
        <v>3136</v>
      </c>
      <c r="C106" t="s">
        <v>3363</v>
      </c>
      <c r="D106" s="5" t="s">
        <v>3258</v>
      </c>
      <c r="E106" t="str">
        <f t="shared" si="3"/>
        <v>UPDATE [MAP].[T_TRANS_CUSTOMER] SET NEW_CUSTOMER_ID = 'C0103' WHERE LEGACY_CUSTOMER_ID = 'WilkesUn' AND DATA_FOLDER_ID = 'sampl'</v>
      </c>
      <c r="F106" t="str">
        <f t="shared" si="4"/>
        <v>Changed</v>
      </c>
      <c r="G106" t="str">
        <f t="shared" si="5"/>
        <v>-</v>
      </c>
    </row>
    <row r="107" spans="1:7" x14ac:dyDescent="0.25">
      <c r="A107" s="2" t="s">
        <v>1</v>
      </c>
      <c r="B107" s="9" t="s">
        <v>3137</v>
      </c>
      <c r="C107" t="s">
        <v>3364</v>
      </c>
      <c r="D107" s="5" t="s">
        <v>3259</v>
      </c>
      <c r="E107" t="str">
        <f t="shared" si="3"/>
        <v>UPDATE [MAP].[T_TRANS_CUSTOMER] SET NEW_CUSTOMER_ID = 'C0104' WHERE LEGACY_CUSTOMER_ID = 'WNEPTV00' AND DATA_FOLDER_ID = 'sampl'</v>
      </c>
      <c r="F107" t="str">
        <f t="shared" si="4"/>
        <v>Changed</v>
      </c>
      <c r="G107" t="str">
        <f t="shared" si="5"/>
        <v>-</v>
      </c>
    </row>
    <row r="108" spans="1:7" x14ac:dyDescent="0.25">
      <c r="A108" s="2" t="s">
        <v>1</v>
      </c>
      <c r="B108" s="9" t="s">
        <v>3138</v>
      </c>
      <c r="C108" t="s">
        <v>2020</v>
      </c>
      <c r="D108" s="5" t="s">
        <v>3260</v>
      </c>
      <c r="E108" t="str">
        <f t="shared" si="3"/>
        <v>UPDATE [MAP].[T_TRANS_CUSTOMER] SET NEW_CUSTOMER_ID = 'C0105' WHERE LEGACY_CUSTOMER_ID = 'YODERSON' AND DATA_FOLDER_ID = 'sampl'</v>
      </c>
      <c r="F108" t="str">
        <f t="shared" si="4"/>
        <v>Changed</v>
      </c>
      <c r="G108" t="str">
        <f t="shared" si="5"/>
        <v>-</v>
      </c>
    </row>
    <row r="109" spans="1:7" x14ac:dyDescent="0.25">
      <c r="A109" s="2" t="s">
        <v>1</v>
      </c>
      <c r="B109" s="9" t="s">
        <v>3139</v>
      </c>
      <c r="C109" t="s">
        <v>3365</v>
      </c>
      <c r="D109" s="5" t="s">
        <v>3261</v>
      </c>
      <c r="E109" t="str">
        <f t="shared" si="3"/>
        <v>UPDATE [MAP].[T_TRANS_CUSTOMER] SET NEW_CUSTOMER_ID = 'C0106' WHERE LEGACY_CUSTOMER_ID = 'ZFCONSLT' AND DATA_FOLDER_ID = 'sampl'</v>
      </c>
      <c r="F109" t="str">
        <f t="shared" si="4"/>
        <v>Changed</v>
      </c>
      <c r="G109" t="str">
        <f t="shared" si="5"/>
        <v>-</v>
      </c>
    </row>
    <row r="110" spans="1:7" x14ac:dyDescent="0.25">
      <c r="A110" s="2" t="s">
        <v>1</v>
      </c>
      <c r="B110" s="9" t="s">
        <v>3140</v>
      </c>
      <c r="C110" t="s">
        <v>3366</v>
      </c>
      <c r="D110" s="5" t="s">
        <v>3262</v>
      </c>
      <c r="E110" t="str">
        <f t="shared" si="3"/>
        <v>UPDATE [MAP].[T_TRANS_CUSTOMER] SET NEW_CUSTOMER_ID = 'C0107' WHERE LEGACY_CUSTOMER_ID = 'ZFCONST0' AND DATA_FOLDER_ID = 'sampl'</v>
      </c>
      <c r="F110" t="str">
        <f t="shared" si="4"/>
        <v>Changed</v>
      </c>
      <c r="G110" t="str">
        <f t="shared" si="5"/>
        <v>-</v>
      </c>
    </row>
    <row r="111" spans="1:7" x14ac:dyDescent="0.25">
      <c r="A111" s="2" t="s">
        <v>1</v>
      </c>
      <c r="B111" s="9" t="s">
        <v>3141</v>
      </c>
      <c r="C111" t="s">
        <v>3367</v>
      </c>
      <c r="D111" s="5" t="s">
        <v>3263</v>
      </c>
      <c r="E111" t="str">
        <f t="shared" si="3"/>
        <v>UPDATE [MAP].[T_TRANS_CUSTOMER] SET NEW_CUSTOMER_ID = 'C0108' WHERE LEGACY_CUSTOMER_ID = 'ADVANCED' AND DATA_FOLDER_ID = 'sampl'</v>
      </c>
      <c r="F111" t="str">
        <f t="shared" si="4"/>
        <v>Changed</v>
      </c>
      <c r="G111" t="str">
        <f t="shared" si="5"/>
        <v>-</v>
      </c>
    </row>
    <row r="112" spans="1:7" x14ac:dyDescent="0.25">
      <c r="A112" s="2" t="s">
        <v>1</v>
      </c>
      <c r="B112" s="9" t="s">
        <v>3142</v>
      </c>
      <c r="C112" t="s">
        <v>3368</v>
      </c>
      <c r="D112" s="5" t="s">
        <v>3264</v>
      </c>
      <c r="E112" t="str">
        <f t="shared" si="3"/>
        <v>UPDATE [MAP].[T_TRANS_CUSTOMER] SET NEW_CUSTOMER_ID = 'C0109' WHERE LEGACY_CUSTOMER_ID = 'ARMYCORP' AND DATA_FOLDER_ID = 'sampl'</v>
      </c>
      <c r="F112" t="str">
        <f t="shared" si="4"/>
        <v>Changed</v>
      </c>
      <c r="G112" t="str">
        <f t="shared" si="5"/>
        <v>-</v>
      </c>
    </row>
    <row r="113" spans="1:7" x14ac:dyDescent="0.25">
      <c r="A113" s="2" t="s">
        <v>1</v>
      </c>
      <c r="B113" s="9" t="s">
        <v>3143</v>
      </c>
      <c r="C113" t="s">
        <v>3369</v>
      </c>
      <c r="D113" s="5" t="s">
        <v>3265</v>
      </c>
      <c r="E113" t="str">
        <f t="shared" si="3"/>
        <v>UPDATE [MAP].[T_TRANS_CUSTOMER] SET NEW_CUSTOMER_ID = 'C0110' WHERE LEGACY_CUSTOMER_ID = 'AZEKCO' AND DATA_FOLDER_ID = 'sampl'</v>
      </c>
      <c r="F113" t="str">
        <f t="shared" si="4"/>
        <v>Changed</v>
      </c>
      <c r="G113" t="str">
        <f t="shared" si="5"/>
        <v>-</v>
      </c>
    </row>
    <row r="114" spans="1:7" x14ac:dyDescent="0.25">
      <c r="A114" s="2" t="s">
        <v>1</v>
      </c>
      <c r="B114" s="9" t="s">
        <v>3144</v>
      </c>
      <c r="C114" t="s">
        <v>3370</v>
      </c>
      <c r="D114" s="5" t="s">
        <v>3266</v>
      </c>
      <c r="E114" t="str">
        <f t="shared" si="3"/>
        <v>UPDATE [MAP].[T_TRANS_CUSTOMER] SET NEW_CUSTOMER_ID = 'C0111' WHERE LEGACY_CUSTOMER_ID = 'BLUEROCK' AND DATA_FOLDER_ID = 'sampl'</v>
      </c>
      <c r="F114" t="str">
        <f t="shared" si="4"/>
        <v>Changed</v>
      </c>
      <c r="G114" t="str">
        <f t="shared" si="5"/>
        <v>-</v>
      </c>
    </row>
    <row r="115" spans="1:7" x14ac:dyDescent="0.25">
      <c r="A115" s="2" t="s">
        <v>1</v>
      </c>
      <c r="B115" s="9" t="s">
        <v>3145</v>
      </c>
      <c r="C115" t="s">
        <v>3371</v>
      </c>
      <c r="D115" s="5" t="s">
        <v>3267</v>
      </c>
      <c r="E115" t="str">
        <f t="shared" si="3"/>
        <v>UPDATE [MAP].[T_TRANS_CUSTOMER] SET NEW_CUSTOMER_ID = 'C0112' WHERE LEGACY_CUSTOMER_ID = 'BORLIEME' AND DATA_FOLDER_ID = 'sampl'</v>
      </c>
      <c r="F115" t="str">
        <f t="shared" si="4"/>
        <v>Changed</v>
      </c>
      <c r="G115" t="str">
        <f t="shared" si="5"/>
        <v>-</v>
      </c>
    </row>
    <row r="116" spans="1:7" x14ac:dyDescent="0.25">
      <c r="A116" s="2" t="s">
        <v>1</v>
      </c>
      <c r="B116" s="9" t="s">
        <v>3146</v>
      </c>
      <c r="C116" t="s">
        <v>3372</v>
      </c>
      <c r="D116" s="5" t="s">
        <v>3268</v>
      </c>
      <c r="E116" t="str">
        <f t="shared" si="3"/>
        <v>UPDATE [MAP].[T_TRANS_CUSTOMER] SET NEW_CUSTOMER_ID = 'C0113' WHERE LEGACY_CUSTOMER_ID = 'LECCONST' AND DATA_FOLDER_ID = 'sampl'</v>
      </c>
      <c r="F116" t="str">
        <f t="shared" si="4"/>
        <v>Changed</v>
      </c>
      <c r="G116" t="str">
        <f t="shared" si="5"/>
        <v>-</v>
      </c>
    </row>
    <row r="117" spans="1:7" x14ac:dyDescent="0.25">
      <c r="A117" s="2" t="s">
        <v>1</v>
      </c>
      <c r="B117" s="9" t="s">
        <v>3147</v>
      </c>
      <c r="C117" t="s">
        <v>3373</v>
      </c>
      <c r="D117" s="5" t="s">
        <v>3269</v>
      </c>
      <c r="E117" t="str">
        <f t="shared" si="3"/>
        <v>UPDATE [MAP].[T_TRANS_CUSTOMER] SET NEW_CUSTOMER_ID = 'C0114' WHERE LEGACY_CUSTOMER_ID = 'RYCONCON' AND DATA_FOLDER_ID = 'sampl'</v>
      </c>
      <c r="F117" t="str">
        <f t="shared" si="4"/>
        <v>Changed</v>
      </c>
      <c r="G117" t="str">
        <f t="shared" si="5"/>
        <v>-</v>
      </c>
    </row>
    <row r="118" spans="1:7" x14ac:dyDescent="0.25">
      <c r="A118" s="2" t="s">
        <v>1</v>
      </c>
      <c r="B118" s="9" t="s">
        <v>3148</v>
      </c>
      <c r="C118" t="s">
        <v>3374</v>
      </c>
      <c r="D118" s="5" t="s">
        <v>3270</v>
      </c>
      <c r="E118" t="str">
        <f t="shared" si="3"/>
        <v>UPDATE [MAP].[T_TRANS_CUSTOMER] SET NEW_CUSTOMER_ID = 'C0115' WHERE LEGACY_CUSTOMER_ID = 'SCRPREPA' AND DATA_FOLDER_ID = 'sampl'</v>
      </c>
      <c r="F118" t="str">
        <f t="shared" si="4"/>
        <v>Changed</v>
      </c>
      <c r="G118" t="str">
        <f t="shared" si="5"/>
        <v>-</v>
      </c>
    </row>
    <row r="119" spans="1:7" x14ac:dyDescent="0.25">
      <c r="A119" s="2" t="s">
        <v>1</v>
      </c>
      <c r="B119" s="9" t="s">
        <v>3149</v>
      </c>
      <c r="C119" t="s">
        <v>3375</v>
      </c>
      <c r="D119" s="5" t="s">
        <v>3271</v>
      </c>
      <c r="E119" t="str">
        <f t="shared" si="3"/>
        <v>UPDATE [MAP].[T_TRANS_CUSTOMER] SET NEW_CUSTOMER_ID = 'C0116' WHERE LEGACY_CUSTOMER_ID = 'SIMONAAM' AND DATA_FOLDER_ID = 'sampl'</v>
      </c>
      <c r="F119" t="str">
        <f t="shared" si="4"/>
        <v>Changed</v>
      </c>
      <c r="G119" t="str">
        <f t="shared" si="5"/>
        <v>-</v>
      </c>
    </row>
    <row r="120" spans="1:7" x14ac:dyDescent="0.25">
      <c r="A120" s="2" t="s">
        <v>1</v>
      </c>
      <c r="B120" s="9" t="s">
        <v>3150</v>
      </c>
      <c r="C120" t="s">
        <v>3376</v>
      </c>
      <c r="D120" s="5" t="s">
        <v>3272</v>
      </c>
      <c r="E120" t="str">
        <f t="shared" si="3"/>
        <v>UPDATE [MAP].[T_TRANS_CUSTOMER] SET NEW_CUSTOMER_ID = 'C0117' WHERE LEGACY_CUSTOMER_ID = 'TECHNI' AND DATA_FOLDER_ID = 'sampl'</v>
      </c>
      <c r="F120" t="str">
        <f t="shared" si="4"/>
        <v>Changed</v>
      </c>
      <c r="G120" t="str">
        <f t="shared" si="5"/>
        <v>-</v>
      </c>
    </row>
    <row r="121" spans="1:7" x14ac:dyDescent="0.25">
      <c r="A121" s="2" t="s">
        <v>1</v>
      </c>
      <c r="B121" s="9" t="s">
        <v>3151</v>
      </c>
      <c r="C121" t="s">
        <v>3377</v>
      </c>
      <c r="D121" s="5" t="s">
        <v>3273</v>
      </c>
      <c r="E121" t="str">
        <f t="shared" si="3"/>
        <v>UPDATE [MAP].[T_TRANS_CUSTOMER] SET NEW_CUSTOMER_ID = 'C0118' WHERE LEGACY_CUSTOMER_ID = 'TISHCONS' AND DATA_FOLDER_ID = 'sampl'</v>
      </c>
      <c r="F121" t="str">
        <f t="shared" si="4"/>
        <v>Changed</v>
      </c>
      <c r="G121" t="str">
        <f t="shared" si="5"/>
        <v>-</v>
      </c>
    </row>
    <row r="122" spans="1:7" x14ac:dyDescent="0.25">
      <c r="A122" s="2" t="s">
        <v>1</v>
      </c>
      <c r="B122" s="9" t="s">
        <v>3152</v>
      </c>
      <c r="C122" t="s">
        <v>3378</v>
      </c>
      <c r="D122" s="5" t="s">
        <v>3274</v>
      </c>
      <c r="E122" t="str">
        <f t="shared" si="3"/>
        <v>UPDATE [MAP].[T_TRANS_CUSTOMER] SET NEW_CUSTOMER_ID = 'C0119' WHERE LEGACY_CUSTOMER_ID = 'TOYOTASC' AND DATA_FOLDER_ID = 'sampl'</v>
      </c>
      <c r="F122" t="str">
        <f t="shared" si="4"/>
        <v>Changed</v>
      </c>
      <c r="G122" t="str">
        <f t="shared" si="5"/>
        <v>-</v>
      </c>
    </row>
    <row r="123" spans="1:7" x14ac:dyDescent="0.25">
      <c r="A123" s="2" t="s">
        <v>1</v>
      </c>
      <c r="B123" s="9" t="s">
        <v>967</v>
      </c>
      <c r="C123" t="s">
        <v>3379</v>
      </c>
      <c r="D123" s="5" t="s">
        <v>3275</v>
      </c>
      <c r="E123" t="str">
        <f t="shared" si="3"/>
        <v>UPDATE [MAP].[T_TRANS_CUSTOMER] SET NEW_CUSTOMER_ID = 'C0120' WHERE LEGACY_CUSTOMER_ID = 'UNITEDWA' AND DATA_FOLDER_ID = 'sampl'</v>
      </c>
      <c r="F123" t="str">
        <f t="shared" si="4"/>
        <v>Changed</v>
      </c>
      <c r="G123" t="str">
        <f t="shared" si="5"/>
        <v>-</v>
      </c>
    </row>
    <row r="124" spans="1:7" x14ac:dyDescent="0.25">
      <c r="A124" s="2" t="s">
        <v>1</v>
      </c>
      <c r="B124" s="9" t="s">
        <v>3153</v>
      </c>
      <c r="C124" t="s">
        <v>3380</v>
      </c>
      <c r="D124" s="5" t="s">
        <v>3276</v>
      </c>
      <c r="E124" t="str">
        <f t="shared" si="3"/>
        <v>UPDATE [MAP].[T_TRANS_CUSTOMER] SET NEW_CUSTOMER_ID = 'C0121' WHERE LEGACY_CUSTOMER_ID = 'VICTAULI' AND DATA_FOLDER_ID = 'sampl'</v>
      </c>
      <c r="F124" t="str">
        <f t="shared" si="4"/>
        <v>Changed</v>
      </c>
      <c r="G124" t="str">
        <f t="shared" si="5"/>
        <v>-</v>
      </c>
    </row>
    <row r="125" spans="1:7" x14ac:dyDescent="0.25">
      <c r="A125" s="2" t="s">
        <v>1</v>
      </c>
      <c r="B125" s="9" t="s">
        <v>3154</v>
      </c>
      <c r="C125" t="s">
        <v>3381</v>
      </c>
      <c r="D125" s="5" t="s">
        <v>3277</v>
      </c>
      <c r="E125" t="str">
        <f t="shared" si="3"/>
        <v>UPDATE [MAP].[T_TRANS_CUSTOMER] SET NEW_CUSTOMER_ID = 'C0122' WHERE LEGACY_CUSTOMER_ID = 'LEHIGHHO' AND DATA_FOLDER_ID = 'sampl'</v>
      </c>
      <c r="F125" t="str">
        <f t="shared" si="4"/>
        <v>Changed</v>
      </c>
      <c r="G125" t="str">
        <f t="shared" si="5"/>
        <v>-</v>
      </c>
    </row>
    <row r="126" spans="1:7" x14ac:dyDescent="0.25">
      <c r="A126" s="2" t="s">
        <v>1</v>
      </c>
      <c r="B126" s="9" t="s">
        <v>3155</v>
      </c>
      <c r="C126" t="s">
        <v>3382</v>
      </c>
      <c r="D126" s="5" t="s">
        <v>3278</v>
      </c>
      <c r="E126" t="str">
        <f t="shared" si="3"/>
        <v>UPDATE [MAP].[T_TRANS_CUSTOMER] SET NEW_CUSTOMER_ID = 'C0123' WHERE LEGACY_CUSTOMER_ID = 'MILLTOWN' AND DATA_FOLDER_ID = 'sampl'</v>
      </c>
      <c r="F126" t="str">
        <f t="shared" si="4"/>
        <v>Changed</v>
      </c>
      <c r="G126" t="str">
        <f t="shared" si="5"/>
        <v>-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84C00-858E-49AF-A839-AFCD3AAF4120}">
  <dimension ref="A1:H359"/>
  <sheetViews>
    <sheetView zoomScale="130" zoomScaleNormal="13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.7109375" style="2" bestFit="1" customWidth="1"/>
    <col min="2" max="2" width="12.42578125" style="9" bestFit="1" customWidth="1"/>
    <col min="3" max="3" width="25.28515625" customWidth="1"/>
    <col min="4" max="5" width="13.85546875" style="11" customWidth="1"/>
    <col min="6" max="6" width="33.5703125" customWidth="1"/>
    <col min="7" max="7" width="8.28515625" bestFit="1" customWidth="1"/>
    <col min="8" max="8" width="10" customWidth="1"/>
  </cols>
  <sheetData>
    <row r="1" spans="1:8" x14ac:dyDescent="0.25">
      <c r="A1" s="20" t="str">
        <f>"Legacy ERP: "&amp;Controls!$B$2</f>
        <v>Legacy ERP: Sage 300 CRE</v>
      </c>
      <c r="B1" s="20"/>
      <c r="C1" s="20"/>
      <c r="D1" s="20" t="str">
        <f>"New ERP: "&amp;Controls!$B$3</f>
        <v>New ERP: Sage Intacct</v>
      </c>
      <c r="E1" s="20"/>
    </row>
    <row r="2" spans="1:8" ht="4.9000000000000004" customHeight="1" x14ac:dyDescent="0.25">
      <c r="D2" s="2"/>
      <c r="E2" s="2"/>
    </row>
    <row r="3" spans="1:8" x14ac:dyDescent="0.25">
      <c r="A3" s="8" t="s">
        <v>7</v>
      </c>
      <c r="B3" s="8" t="s">
        <v>3402</v>
      </c>
      <c r="C3" s="8" t="s">
        <v>4238</v>
      </c>
      <c r="D3" s="8" t="s">
        <v>3402</v>
      </c>
      <c r="E3" s="8" t="s">
        <v>4113</v>
      </c>
      <c r="F3" s="15" t="s">
        <v>3403</v>
      </c>
      <c r="G3" s="16" t="s">
        <v>12</v>
      </c>
      <c r="H3" s="16" t="s">
        <v>2</v>
      </c>
    </row>
    <row r="4" spans="1:8" x14ac:dyDescent="0.25">
      <c r="A4" s="2" t="s">
        <v>1</v>
      </c>
      <c r="B4" s="10" t="s">
        <v>3404</v>
      </c>
      <c r="C4" t="s">
        <v>3760</v>
      </c>
      <c r="D4" s="11" t="s">
        <v>3404</v>
      </c>
      <c r="E4" s="11" t="s">
        <v>4114</v>
      </c>
      <c r="F4" t="str">
        <f>"UPDATE "&amp;F$3&amp;" SET NEW_COST_CODE_ID = '"&amp;D4&amp;"', NEW_ITEM_ID = '"&amp;E4&amp;"' WHERE LEGACY_COST_CODE_ID = '"&amp;B4&amp;"' AND DATA_FOLDER_ID = '"&amp;A4&amp;"'"</f>
        <v>UPDATE [MAP].[T_TRANS_COST_CODE] SET NEW_COST_CODE_ID = '01-0000', NEW_ITEM_ID = ' ' WHERE LEGACY_COST_CODE_ID = '01-0000' AND DATA_FOLDER_ID = 'sampl'</v>
      </c>
      <c r="G4" t="str">
        <f>IF(B4&lt;&gt;D4,"Changed","-")</f>
        <v>-</v>
      </c>
      <c r="H4" t="str">
        <f>IF(B4="","Hide","-")</f>
        <v>-</v>
      </c>
    </row>
    <row r="5" spans="1:8" x14ac:dyDescent="0.25">
      <c r="A5" s="2" t="s">
        <v>1</v>
      </c>
      <c r="B5" s="10" t="s">
        <v>3405</v>
      </c>
      <c r="C5" t="s">
        <v>3761</v>
      </c>
      <c r="D5" s="11" t="s">
        <v>3405</v>
      </c>
      <c r="E5" s="11" t="s">
        <v>4115</v>
      </c>
      <c r="F5" t="str">
        <f t="shared" ref="F5:F68" si="0">"UPDATE "&amp;F$3&amp;" SET NEW_COST_CODE_ID = '"&amp;D5&amp;"', NEW_ITEM_ID = '"&amp;E5&amp;"' WHERE LEGACY_COST_CODE_ID = '"&amp;B5&amp;"' AND DATA_FOLDER_ID = '"&amp;A5&amp;"'"</f>
        <v>UPDATE [MAP].[T_TRANS_COST_CODE] SET NEW_COST_CODE_ID = '01-1005', NEW_ITEM_ID = 'Contract Item' WHERE LEGACY_COST_CODE_ID = '01-1005' AND DATA_FOLDER_ID = 'sampl'</v>
      </c>
      <c r="G5" t="str">
        <f t="shared" ref="G5:G68" si="1">IF(B5&lt;&gt;D5,"Changed","-")</f>
        <v>-</v>
      </c>
      <c r="H5" t="str">
        <f t="shared" ref="H5:H68" si="2">IF(B5="","Hide","-")</f>
        <v>-</v>
      </c>
    </row>
    <row r="6" spans="1:8" x14ac:dyDescent="0.25">
      <c r="A6" s="2" t="s">
        <v>1</v>
      </c>
      <c r="B6" s="9" t="s">
        <v>3406</v>
      </c>
      <c r="C6" t="s">
        <v>3762</v>
      </c>
      <c r="D6" s="11" t="s">
        <v>3406</v>
      </c>
      <c r="E6" s="11" t="s">
        <v>4115</v>
      </c>
      <c r="F6" t="str">
        <f t="shared" si="0"/>
        <v>UPDATE [MAP].[T_TRANS_COST_CODE] SET NEW_COST_CODE_ID = '01-1008', NEW_ITEM_ID = 'Contract Item' WHERE LEGACY_COST_CODE_ID = '01-1008' AND DATA_FOLDER_ID = 'sampl'</v>
      </c>
      <c r="G6" t="str">
        <f t="shared" si="1"/>
        <v>-</v>
      </c>
      <c r="H6" t="str">
        <f t="shared" si="2"/>
        <v>-</v>
      </c>
    </row>
    <row r="7" spans="1:8" x14ac:dyDescent="0.25">
      <c r="A7" s="2" t="s">
        <v>1</v>
      </c>
      <c r="B7" s="9" t="s">
        <v>3407</v>
      </c>
      <c r="C7" t="s">
        <v>3763</v>
      </c>
      <c r="D7" s="11" t="s">
        <v>3407</v>
      </c>
      <c r="E7" s="11" t="s">
        <v>4115</v>
      </c>
      <c r="F7" t="str">
        <f t="shared" si="0"/>
        <v>UPDATE [MAP].[T_TRANS_COST_CODE] SET NEW_COST_CODE_ID = '01-1010', NEW_ITEM_ID = 'Contract Item' WHERE LEGACY_COST_CODE_ID = '01-1010' AND DATA_FOLDER_ID = 'sampl'</v>
      </c>
      <c r="G7" t="str">
        <f t="shared" si="1"/>
        <v>-</v>
      </c>
      <c r="H7" t="str">
        <f t="shared" si="2"/>
        <v>-</v>
      </c>
    </row>
    <row r="8" spans="1:8" x14ac:dyDescent="0.25">
      <c r="A8" s="2" t="s">
        <v>1</v>
      </c>
      <c r="B8" s="9" t="s">
        <v>3408</v>
      </c>
      <c r="C8" t="s">
        <v>3764</v>
      </c>
      <c r="D8" s="11" t="s">
        <v>4112</v>
      </c>
      <c r="E8" s="11" t="s">
        <v>4115</v>
      </c>
      <c r="F8" t="str">
        <f t="shared" si="0"/>
        <v>UPDATE [MAP].[T_TRANS_COST_CODE] SET NEW_COST_CODE_ID = '01-1212', NEW_ITEM_ID = 'Contract Item' WHERE LEGACY_COST_CODE_ID = '01-1012' AND DATA_FOLDER_ID = 'sampl'</v>
      </c>
      <c r="G8" t="str">
        <f t="shared" si="1"/>
        <v>Changed</v>
      </c>
      <c r="H8" t="str">
        <f t="shared" si="2"/>
        <v>-</v>
      </c>
    </row>
    <row r="9" spans="1:8" x14ac:dyDescent="0.25">
      <c r="A9" s="2" t="s">
        <v>1</v>
      </c>
      <c r="B9" s="9" t="s">
        <v>3409</v>
      </c>
      <c r="C9" t="s">
        <v>3765</v>
      </c>
      <c r="D9" s="11" t="s">
        <v>3409</v>
      </c>
      <c r="E9" s="11" t="s">
        <v>4115</v>
      </c>
      <c r="F9" t="str">
        <f t="shared" si="0"/>
        <v>UPDATE [MAP].[T_TRANS_COST_CODE] SET NEW_COST_CODE_ID = '01-1015', NEW_ITEM_ID = 'Contract Item' WHERE LEGACY_COST_CODE_ID = '01-1015' AND DATA_FOLDER_ID = 'sampl'</v>
      </c>
      <c r="G9" t="str">
        <f t="shared" si="1"/>
        <v>-</v>
      </c>
      <c r="H9" t="str">
        <f t="shared" si="2"/>
        <v>-</v>
      </c>
    </row>
    <row r="10" spans="1:8" x14ac:dyDescent="0.25">
      <c r="A10" s="2" t="s">
        <v>1</v>
      </c>
      <c r="B10" s="9" t="s">
        <v>3410</v>
      </c>
      <c r="C10" t="s">
        <v>3766</v>
      </c>
      <c r="D10" s="11" t="s">
        <v>3410</v>
      </c>
      <c r="E10" s="11" t="s">
        <v>4115</v>
      </c>
      <c r="F10" t="str">
        <f t="shared" si="0"/>
        <v>UPDATE [MAP].[T_TRANS_COST_CODE] SET NEW_COST_CODE_ID = '01-1016', NEW_ITEM_ID = 'Contract Item' WHERE LEGACY_COST_CODE_ID = '01-1016' AND DATA_FOLDER_ID = 'sampl'</v>
      </c>
      <c r="G10" t="str">
        <f t="shared" si="1"/>
        <v>-</v>
      </c>
      <c r="H10" t="str">
        <f t="shared" si="2"/>
        <v>-</v>
      </c>
    </row>
    <row r="11" spans="1:8" x14ac:dyDescent="0.25">
      <c r="A11" s="2" t="s">
        <v>1</v>
      </c>
      <c r="B11" s="9" t="s">
        <v>3411</v>
      </c>
      <c r="C11" t="s">
        <v>3767</v>
      </c>
      <c r="D11" s="11" t="s">
        <v>3411</v>
      </c>
      <c r="E11" s="11" t="s">
        <v>4115</v>
      </c>
      <c r="F11" t="str">
        <f t="shared" si="0"/>
        <v>UPDATE [MAP].[T_TRANS_COST_CODE] SET NEW_COST_CODE_ID = '01-1020', NEW_ITEM_ID = 'Contract Item' WHERE LEGACY_COST_CODE_ID = '01-1020' AND DATA_FOLDER_ID = 'sampl'</v>
      </c>
      <c r="G11" t="str">
        <f t="shared" si="1"/>
        <v>-</v>
      </c>
      <c r="H11" t="str">
        <f t="shared" si="2"/>
        <v>-</v>
      </c>
    </row>
    <row r="12" spans="1:8" x14ac:dyDescent="0.25">
      <c r="A12" s="2" t="s">
        <v>1</v>
      </c>
      <c r="B12" s="9" t="s">
        <v>3412</v>
      </c>
      <c r="C12" t="s">
        <v>3768</v>
      </c>
      <c r="D12" s="11" t="s">
        <v>3412</v>
      </c>
      <c r="E12" s="11" t="s">
        <v>4115</v>
      </c>
      <c r="F12" t="str">
        <f t="shared" si="0"/>
        <v>UPDATE [MAP].[T_TRANS_COST_CODE] SET NEW_COST_CODE_ID = '01-1025', NEW_ITEM_ID = 'Contract Item' WHERE LEGACY_COST_CODE_ID = '01-1025' AND DATA_FOLDER_ID = 'sampl'</v>
      </c>
      <c r="G12" t="str">
        <f t="shared" si="1"/>
        <v>-</v>
      </c>
      <c r="H12" t="str">
        <f t="shared" si="2"/>
        <v>-</v>
      </c>
    </row>
    <row r="13" spans="1:8" x14ac:dyDescent="0.25">
      <c r="A13" s="2" t="s">
        <v>1</v>
      </c>
      <c r="B13" s="9" t="s">
        <v>3413</v>
      </c>
      <c r="C13" t="s">
        <v>3769</v>
      </c>
      <c r="D13" s="11" t="s">
        <v>3413</v>
      </c>
      <c r="E13" s="11" t="s">
        <v>4115</v>
      </c>
      <c r="F13" t="str">
        <f t="shared" si="0"/>
        <v>UPDATE [MAP].[T_TRANS_COST_CODE] SET NEW_COST_CODE_ID = '01-1030', NEW_ITEM_ID = 'Contract Item' WHERE LEGACY_COST_CODE_ID = '01-1030' AND DATA_FOLDER_ID = 'sampl'</v>
      </c>
      <c r="G13" t="str">
        <f t="shared" si="1"/>
        <v>-</v>
      </c>
      <c r="H13" t="str">
        <f t="shared" si="2"/>
        <v>-</v>
      </c>
    </row>
    <row r="14" spans="1:8" x14ac:dyDescent="0.25">
      <c r="A14" s="2" t="s">
        <v>1</v>
      </c>
      <c r="B14" s="9" t="s">
        <v>3414</v>
      </c>
      <c r="C14" t="s">
        <v>3770</v>
      </c>
      <c r="D14" s="11" t="s">
        <v>3414</v>
      </c>
      <c r="E14" s="11" t="s">
        <v>4115</v>
      </c>
      <c r="F14" t="str">
        <f t="shared" si="0"/>
        <v>UPDATE [MAP].[T_TRANS_COST_CODE] SET NEW_COST_CODE_ID = '01-1040', NEW_ITEM_ID = 'Contract Item' WHERE LEGACY_COST_CODE_ID = '01-1040' AND DATA_FOLDER_ID = 'sampl'</v>
      </c>
      <c r="G14" t="str">
        <f t="shared" si="1"/>
        <v>-</v>
      </c>
      <c r="H14" t="str">
        <f t="shared" si="2"/>
        <v>-</v>
      </c>
    </row>
    <row r="15" spans="1:8" x14ac:dyDescent="0.25">
      <c r="A15" s="2" t="s">
        <v>1</v>
      </c>
      <c r="B15" s="9" t="s">
        <v>3415</v>
      </c>
      <c r="C15" t="s">
        <v>3771</v>
      </c>
      <c r="D15" s="11" t="s">
        <v>3415</v>
      </c>
      <c r="E15" s="11" t="s">
        <v>4115</v>
      </c>
      <c r="F15" t="str">
        <f t="shared" si="0"/>
        <v>UPDATE [MAP].[T_TRANS_COST_CODE] SET NEW_COST_CODE_ID = '01-1045', NEW_ITEM_ID = 'Contract Item' WHERE LEGACY_COST_CODE_ID = '01-1045' AND DATA_FOLDER_ID = 'sampl'</v>
      </c>
      <c r="G15" t="str">
        <f t="shared" si="1"/>
        <v>-</v>
      </c>
      <c r="H15" t="str">
        <f t="shared" si="2"/>
        <v>-</v>
      </c>
    </row>
    <row r="16" spans="1:8" x14ac:dyDescent="0.25">
      <c r="A16" s="2" t="s">
        <v>1</v>
      </c>
      <c r="B16" s="9" t="s">
        <v>3416</v>
      </c>
      <c r="C16" t="s">
        <v>3772</v>
      </c>
      <c r="D16" s="11" t="s">
        <v>3416</v>
      </c>
      <c r="E16" s="11" t="s">
        <v>4115</v>
      </c>
      <c r="F16" t="str">
        <f t="shared" si="0"/>
        <v>UPDATE [MAP].[T_TRANS_COST_CODE] SET NEW_COST_CODE_ID = '01-1050', NEW_ITEM_ID = 'Contract Item' WHERE LEGACY_COST_CODE_ID = '01-1050' AND DATA_FOLDER_ID = 'sampl'</v>
      </c>
      <c r="G16" t="str">
        <f t="shared" si="1"/>
        <v>-</v>
      </c>
      <c r="H16" t="str">
        <f t="shared" si="2"/>
        <v>-</v>
      </c>
    </row>
    <row r="17" spans="1:8" x14ac:dyDescent="0.25">
      <c r="A17" s="2" t="s">
        <v>1</v>
      </c>
      <c r="B17" s="9" t="s">
        <v>3417</v>
      </c>
      <c r="C17" t="s">
        <v>3773</v>
      </c>
      <c r="D17" s="11" t="s">
        <v>3417</v>
      </c>
      <c r="E17" s="11" t="s">
        <v>4115</v>
      </c>
      <c r="F17" t="str">
        <f t="shared" si="0"/>
        <v>UPDATE [MAP].[T_TRANS_COST_CODE] SET NEW_COST_CODE_ID = '01-1055', NEW_ITEM_ID = 'Contract Item' WHERE LEGACY_COST_CODE_ID = '01-1055' AND DATA_FOLDER_ID = 'sampl'</v>
      </c>
      <c r="G17" t="str">
        <f t="shared" si="1"/>
        <v>-</v>
      </c>
      <c r="H17" t="str">
        <f t="shared" si="2"/>
        <v>-</v>
      </c>
    </row>
    <row r="18" spans="1:8" x14ac:dyDescent="0.25">
      <c r="A18" s="2" t="s">
        <v>1</v>
      </c>
      <c r="B18" s="9" t="s">
        <v>3418</v>
      </c>
      <c r="C18" t="s">
        <v>3774</v>
      </c>
      <c r="D18" s="11" t="s">
        <v>3418</v>
      </c>
      <c r="E18" s="11" t="s">
        <v>4115</v>
      </c>
      <c r="F18" t="str">
        <f t="shared" si="0"/>
        <v>UPDATE [MAP].[T_TRANS_COST_CODE] SET NEW_COST_CODE_ID = '01-1060', NEW_ITEM_ID = 'Contract Item' WHERE LEGACY_COST_CODE_ID = '01-1060' AND DATA_FOLDER_ID = 'sampl'</v>
      </c>
      <c r="G18" t="str">
        <f t="shared" si="1"/>
        <v>-</v>
      </c>
      <c r="H18" t="str">
        <f t="shared" si="2"/>
        <v>-</v>
      </c>
    </row>
    <row r="19" spans="1:8" x14ac:dyDescent="0.25">
      <c r="A19" s="2" t="s">
        <v>1</v>
      </c>
      <c r="B19" s="9" t="s">
        <v>3419</v>
      </c>
      <c r="C19" t="s">
        <v>3775</v>
      </c>
      <c r="D19" s="11" t="s">
        <v>3419</v>
      </c>
      <c r="E19" s="11" t="s">
        <v>4115</v>
      </c>
      <c r="F19" t="str">
        <f t="shared" si="0"/>
        <v>UPDATE [MAP].[T_TRANS_COST_CODE] SET NEW_COST_CODE_ID = '01-1065', NEW_ITEM_ID = 'Contract Item' WHERE LEGACY_COST_CODE_ID = '01-1065' AND DATA_FOLDER_ID = 'sampl'</v>
      </c>
      <c r="G19" t="str">
        <f t="shared" si="1"/>
        <v>-</v>
      </c>
      <c r="H19" t="str">
        <f t="shared" si="2"/>
        <v>-</v>
      </c>
    </row>
    <row r="20" spans="1:8" x14ac:dyDescent="0.25">
      <c r="A20" s="2" t="s">
        <v>1</v>
      </c>
      <c r="B20" s="9" t="s">
        <v>3420</v>
      </c>
      <c r="C20" t="s">
        <v>3776</v>
      </c>
      <c r="D20" s="11" t="s">
        <v>3420</v>
      </c>
      <c r="E20" s="11" t="s">
        <v>4115</v>
      </c>
      <c r="F20" t="str">
        <f t="shared" si="0"/>
        <v>UPDATE [MAP].[T_TRANS_COST_CODE] SET NEW_COST_CODE_ID = '01-1070', NEW_ITEM_ID = 'Contract Item' WHERE LEGACY_COST_CODE_ID = '01-1070' AND DATA_FOLDER_ID = 'sampl'</v>
      </c>
      <c r="G20" t="str">
        <f t="shared" si="1"/>
        <v>-</v>
      </c>
      <c r="H20" t="str">
        <f t="shared" si="2"/>
        <v>-</v>
      </c>
    </row>
    <row r="21" spans="1:8" x14ac:dyDescent="0.25">
      <c r="A21" s="2" t="s">
        <v>1</v>
      </c>
      <c r="B21" s="9" t="s">
        <v>3421</v>
      </c>
      <c r="C21" t="s">
        <v>3777</v>
      </c>
      <c r="D21" s="11" t="s">
        <v>3421</v>
      </c>
      <c r="E21" s="11" t="s">
        <v>4115</v>
      </c>
      <c r="F21" t="str">
        <f t="shared" si="0"/>
        <v>UPDATE [MAP].[T_TRANS_COST_CODE] SET NEW_COST_CODE_ID = '01-1105', NEW_ITEM_ID = 'Contract Item' WHERE LEGACY_COST_CODE_ID = '01-1105' AND DATA_FOLDER_ID = 'sampl'</v>
      </c>
      <c r="G21" t="str">
        <f t="shared" si="1"/>
        <v>-</v>
      </c>
      <c r="H21" t="str">
        <f t="shared" si="2"/>
        <v>-</v>
      </c>
    </row>
    <row r="22" spans="1:8" x14ac:dyDescent="0.25">
      <c r="A22" s="2" t="s">
        <v>1</v>
      </c>
      <c r="B22" s="9" t="s">
        <v>3422</v>
      </c>
      <c r="C22" t="s">
        <v>3778</v>
      </c>
      <c r="D22" s="11" t="s">
        <v>3422</v>
      </c>
      <c r="E22" s="11" t="s">
        <v>4115</v>
      </c>
      <c r="F22" t="str">
        <f t="shared" si="0"/>
        <v>UPDATE [MAP].[T_TRANS_COST_CODE] SET NEW_COST_CODE_ID = '01-1108', NEW_ITEM_ID = 'Contract Item' WHERE LEGACY_COST_CODE_ID = '01-1108' AND DATA_FOLDER_ID = 'sampl'</v>
      </c>
      <c r="G22" t="str">
        <f t="shared" si="1"/>
        <v>-</v>
      </c>
      <c r="H22" t="str">
        <f t="shared" si="2"/>
        <v>-</v>
      </c>
    </row>
    <row r="23" spans="1:8" x14ac:dyDescent="0.25">
      <c r="A23" s="2" t="s">
        <v>1</v>
      </c>
      <c r="B23" s="9" t="s">
        <v>3423</v>
      </c>
      <c r="C23" t="s">
        <v>3779</v>
      </c>
      <c r="D23" s="11" t="s">
        <v>3423</v>
      </c>
      <c r="E23" s="11" t="s">
        <v>4115</v>
      </c>
      <c r="F23" t="str">
        <f t="shared" si="0"/>
        <v>UPDATE [MAP].[T_TRANS_COST_CODE] SET NEW_COST_CODE_ID = '01-1110', NEW_ITEM_ID = 'Contract Item' WHERE LEGACY_COST_CODE_ID = '01-1110' AND DATA_FOLDER_ID = 'sampl'</v>
      </c>
      <c r="G23" t="str">
        <f t="shared" si="1"/>
        <v>-</v>
      </c>
      <c r="H23" t="str">
        <f t="shared" si="2"/>
        <v>-</v>
      </c>
    </row>
    <row r="24" spans="1:8" x14ac:dyDescent="0.25">
      <c r="A24" s="2" t="s">
        <v>1</v>
      </c>
      <c r="B24" s="9" t="s">
        <v>3424</v>
      </c>
      <c r="C24" t="s">
        <v>3780</v>
      </c>
      <c r="D24" s="11" t="s">
        <v>3424</v>
      </c>
      <c r="E24" s="11" t="s">
        <v>4115</v>
      </c>
      <c r="F24" t="str">
        <f t="shared" si="0"/>
        <v>UPDATE [MAP].[T_TRANS_COST_CODE] SET NEW_COST_CODE_ID = '01-1112', NEW_ITEM_ID = 'Contract Item' WHERE LEGACY_COST_CODE_ID = '01-1112' AND DATA_FOLDER_ID = 'sampl'</v>
      </c>
      <c r="G24" t="str">
        <f t="shared" si="1"/>
        <v>-</v>
      </c>
      <c r="H24" t="str">
        <f t="shared" si="2"/>
        <v>-</v>
      </c>
    </row>
    <row r="25" spans="1:8" x14ac:dyDescent="0.25">
      <c r="A25" s="2" t="s">
        <v>1</v>
      </c>
      <c r="B25" s="9" t="s">
        <v>3425</v>
      </c>
      <c r="C25" t="s">
        <v>3781</v>
      </c>
      <c r="D25" s="11" t="s">
        <v>3425</v>
      </c>
      <c r="E25" s="11" t="s">
        <v>4115</v>
      </c>
      <c r="F25" t="str">
        <f t="shared" si="0"/>
        <v>UPDATE [MAP].[T_TRANS_COST_CODE] SET NEW_COST_CODE_ID = '01-1115', NEW_ITEM_ID = 'Contract Item' WHERE LEGACY_COST_CODE_ID = '01-1115' AND DATA_FOLDER_ID = 'sampl'</v>
      </c>
      <c r="G25" t="str">
        <f t="shared" si="1"/>
        <v>-</v>
      </c>
      <c r="H25" t="str">
        <f t="shared" si="2"/>
        <v>-</v>
      </c>
    </row>
    <row r="26" spans="1:8" x14ac:dyDescent="0.25">
      <c r="A26" s="2" t="s">
        <v>1</v>
      </c>
      <c r="B26" s="9" t="s">
        <v>3426</v>
      </c>
      <c r="C26" t="s">
        <v>3782</v>
      </c>
      <c r="D26" s="11" t="s">
        <v>3426</v>
      </c>
      <c r="E26" s="11" t="s">
        <v>4115</v>
      </c>
      <c r="F26" t="str">
        <f t="shared" si="0"/>
        <v>UPDATE [MAP].[T_TRANS_COST_CODE] SET NEW_COST_CODE_ID = '01-1116', NEW_ITEM_ID = 'Contract Item' WHERE LEGACY_COST_CODE_ID = '01-1116' AND DATA_FOLDER_ID = 'sampl'</v>
      </c>
      <c r="G26" t="str">
        <f t="shared" si="1"/>
        <v>-</v>
      </c>
      <c r="H26" t="str">
        <f t="shared" si="2"/>
        <v>-</v>
      </c>
    </row>
    <row r="27" spans="1:8" x14ac:dyDescent="0.25">
      <c r="A27" s="2" t="s">
        <v>1</v>
      </c>
      <c r="B27" s="9" t="s">
        <v>3427</v>
      </c>
      <c r="C27" t="s">
        <v>3783</v>
      </c>
      <c r="D27" s="11" t="s">
        <v>3427</v>
      </c>
      <c r="E27" s="11" t="s">
        <v>4115</v>
      </c>
      <c r="F27" t="str">
        <f t="shared" si="0"/>
        <v>UPDATE [MAP].[T_TRANS_COST_CODE] SET NEW_COST_CODE_ID = '01-1120', NEW_ITEM_ID = 'Contract Item' WHERE LEGACY_COST_CODE_ID = '01-1120' AND DATA_FOLDER_ID = 'sampl'</v>
      </c>
      <c r="G27" t="str">
        <f t="shared" si="1"/>
        <v>-</v>
      </c>
      <c r="H27" t="str">
        <f t="shared" si="2"/>
        <v>-</v>
      </c>
    </row>
    <row r="28" spans="1:8" x14ac:dyDescent="0.25">
      <c r="A28" s="2" t="s">
        <v>1</v>
      </c>
      <c r="B28" s="9" t="s">
        <v>3428</v>
      </c>
      <c r="C28" t="s">
        <v>3784</v>
      </c>
      <c r="D28" s="11" t="s">
        <v>3428</v>
      </c>
      <c r="E28" s="11" t="s">
        <v>4115</v>
      </c>
      <c r="F28" t="str">
        <f t="shared" si="0"/>
        <v>UPDATE [MAP].[T_TRANS_COST_CODE] SET NEW_COST_CODE_ID = '01-1125', NEW_ITEM_ID = 'Contract Item' WHERE LEGACY_COST_CODE_ID = '01-1125' AND DATA_FOLDER_ID = 'sampl'</v>
      </c>
      <c r="G28" t="str">
        <f t="shared" si="1"/>
        <v>-</v>
      </c>
      <c r="H28" t="str">
        <f t="shared" si="2"/>
        <v>-</v>
      </c>
    </row>
    <row r="29" spans="1:8" x14ac:dyDescent="0.25">
      <c r="A29" s="2" t="s">
        <v>1</v>
      </c>
      <c r="B29" s="9" t="s">
        <v>3429</v>
      </c>
      <c r="C29" t="s">
        <v>3785</v>
      </c>
      <c r="D29" s="11" t="s">
        <v>3429</v>
      </c>
      <c r="E29" s="11" t="s">
        <v>4115</v>
      </c>
      <c r="F29" t="str">
        <f t="shared" si="0"/>
        <v>UPDATE [MAP].[T_TRANS_COST_CODE] SET NEW_COST_CODE_ID = '01-1130', NEW_ITEM_ID = 'Contract Item' WHERE LEGACY_COST_CODE_ID = '01-1130' AND DATA_FOLDER_ID = 'sampl'</v>
      </c>
      <c r="G29" t="str">
        <f t="shared" si="1"/>
        <v>-</v>
      </c>
      <c r="H29" t="str">
        <f t="shared" si="2"/>
        <v>-</v>
      </c>
    </row>
    <row r="30" spans="1:8" x14ac:dyDescent="0.25">
      <c r="A30" s="2" t="s">
        <v>1</v>
      </c>
      <c r="B30" s="9" t="s">
        <v>3430</v>
      </c>
      <c r="C30" t="s">
        <v>3786</v>
      </c>
      <c r="D30" s="11" t="s">
        <v>3430</v>
      </c>
      <c r="E30" s="11" t="s">
        <v>4115</v>
      </c>
      <c r="F30" t="str">
        <f t="shared" si="0"/>
        <v>UPDATE [MAP].[T_TRANS_COST_CODE] SET NEW_COST_CODE_ID = '01-1140', NEW_ITEM_ID = 'Contract Item' WHERE LEGACY_COST_CODE_ID = '01-1140' AND DATA_FOLDER_ID = 'sampl'</v>
      </c>
      <c r="G30" t="str">
        <f t="shared" si="1"/>
        <v>-</v>
      </c>
      <c r="H30" t="str">
        <f t="shared" si="2"/>
        <v>-</v>
      </c>
    </row>
    <row r="31" spans="1:8" x14ac:dyDescent="0.25">
      <c r="A31" s="2" t="s">
        <v>1</v>
      </c>
      <c r="B31" s="9" t="s">
        <v>3431</v>
      </c>
      <c r="C31" t="s">
        <v>3787</v>
      </c>
      <c r="D31" s="11" t="s">
        <v>3431</v>
      </c>
      <c r="E31" s="11" t="s">
        <v>4115</v>
      </c>
      <c r="F31" t="str">
        <f t="shared" si="0"/>
        <v>UPDATE [MAP].[T_TRANS_COST_CODE] SET NEW_COST_CODE_ID = '01-1145', NEW_ITEM_ID = 'Contract Item' WHERE LEGACY_COST_CODE_ID = '01-1145' AND DATA_FOLDER_ID = 'sampl'</v>
      </c>
      <c r="G31" t="str">
        <f t="shared" si="1"/>
        <v>-</v>
      </c>
      <c r="H31" t="str">
        <f t="shared" si="2"/>
        <v>-</v>
      </c>
    </row>
    <row r="32" spans="1:8" x14ac:dyDescent="0.25">
      <c r="A32" s="2" t="s">
        <v>1</v>
      </c>
      <c r="B32" s="9" t="s">
        <v>3432</v>
      </c>
      <c r="C32" t="s">
        <v>3788</v>
      </c>
      <c r="D32" s="11" t="s">
        <v>3432</v>
      </c>
      <c r="E32" s="11" t="s">
        <v>4115</v>
      </c>
      <c r="F32" t="str">
        <f t="shared" si="0"/>
        <v>UPDATE [MAP].[T_TRANS_COST_CODE] SET NEW_COST_CODE_ID = '01-1150', NEW_ITEM_ID = 'Contract Item' WHERE LEGACY_COST_CODE_ID = '01-1150' AND DATA_FOLDER_ID = 'sampl'</v>
      </c>
      <c r="G32" t="str">
        <f t="shared" si="1"/>
        <v>-</v>
      </c>
      <c r="H32" t="str">
        <f t="shared" si="2"/>
        <v>-</v>
      </c>
    </row>
    <row r="33" spans="1:8" x14ac:dyDescent="0.25">
      <c r="A33" s="2" t="s">
        <v>1</v>
      </c>
      <c r="B33" s="9" t="s">
        <v>3433</v>
      </c>
      <c r="C33" t="s">
        <v>3789</v>
      </c>
      <c r="D33" s="11" t="s">
        <v>3433</v>
      </c>
      <c r="E33" s="11" t="s">
        <v>4115</v>
      </c>
      <c r="F33" t="str">
        <f t="shared" si="0"/>
        <v>UPDATE [MAP].[T_TRANS_COST_CODE] SET NEW_COST_CODE_ID = '01-1155', NEW_ITEM_ID = 'Contract Item' WHERE LEGACY_COST_CODE_ID = '01-1155' AND DATA_FOLDER_ID = 'sampl'</v>
      </c>
      <c r="G33" t="str">
        <f t="shared" si="1"/>
        <v>-</v>
      </c>
      <c r="H33" t="str">
        <f t="shared" si="2"/>
        <v>-</v>
      </c>
    </row>
    <row r="34" spans="1:8" x14ac:dyDescent="0.25">
      <c r="A34" s="2" t="s">
        <v>1</v>
      </c>
      <c r="B34" s="9" t="s">
        <v>3434</v>
      </c>
      <c r="C34" t="s">
        <v>3790</v>
      </c>
      <c r="D34" s="11" t="s">
        <v>3434</v>
      </c>
      <c r="E34" s="11" t="s">
        <v>4115</v>
      </c>
      <c r="F34" t="str">
        <f t="shared" si="0"/>
        <v>UPDATE [MAP].[T_TRANS_COST_CODE] SET NEW_COST_CODE_ID = '01-1160', NEW_ITEM_ID = 'Contract Item' WHERE LEGACY_COST_CODE_ID = '01-1160' AND DATA_FOLDER_ID = 'sampl'</v>
      </c>
      <c r="G34" t="str">
        <f t="shared" si="1"/>
        <v>-</v>
      </c>
      <c r="H34" t="str">
        <f t="shared" si="2"/>
        <v>-</v>
      </c>
    </row>
    <row r="35" spans="1:8" x14ac:dyDescent="0.25">
      <c r="A35" s="2" t="s">
        <v>1</v>
      </c>
      <c r="B35" s="9" t="s">
        <v>3435</v>
      </c>
      <c r="C35" t="s">
        <v>3791</v>
      </c>
      <c r="D35" s="11" t="s">
        <v>3435</v>
      </c>
      <c r="E35" s="11" t="s">
        <v>4115</v>
      </c>
      <c r="F35" t="str">
        <f t="shared" si="0"/>
        <v>UPDATE [MAP].[T_TRANS_COST_CODE] SET NEW_COST_CODE_ID = '01-1165', NEW_ITEM_ID = 'Contract Item' WHERE LEGACY_COST_CODE_ID = '01-1165' AND DATA_FOLDER_ID = 'sampl'</v>
      </c>
      <c r="G35" t="str">
        <f t="shared" si="1"/>
        <v>-</v>
      </c>
      <c r="H35" t="str">
        <f t="shared" si="2"/>
        <v>-</v>
      </c>
    </row>
    <row r="36" spans="1:8" x14ac:dyDescent="0.25">
      <c r="A36" s="2" t="s">
        <v>1</v>
      </c>
      <c r="B36" s="9" t="s">
        <v>3436</v>
      </c>
      <c r="C36" t="s">
        <v>3792</v>
      </c>
      <c r="D36" s="11" t="s">
        <v>3436</v>
      </c>
      <c r="E36" s="11" t="s">
        <v>4115</v>
      </c>
      <c r="F36" t="str">
        <f t="shared" si="0"/>
        <v>UPDATE [MAP].[T_TRANS_COST_CODE] SET NEW_COST_CODE_ID = '01-1170', NEW_ITEM_ID = 'Contract Item' WHERE LEGACY_COST_CODE_ID = '01-1170' AND DATA_FOLDER_ID = 'sampl'</v>
      </c>
      <c r="G36" t="str">
        <f t="shared" si="1"/>
        <v>-</v>
      </c>
      <c r="H36" t="str">
        <f t="shared" si="2"/>
        <v>-</v>
      </c>
    </row>
    <row r="37" spans="1:8" x14ac:dyDescent="0.25">
      <c r="A37" s="2" t="s">
        <v>1</v>
      </c>
      <c r="B37" s="9" t="s">
        <v>3437</v>
      </c>
      <c r="C37" t="s">
        <v>3793</v>
      </c>
      <c r="D37" s="11" t="s">
        <v>3437</v>
      </c>
      <c r="E37" s="11" t="s">
        <v>4115</v>
      </c>
      <c r="F37" t="str">
        <f t="shared" si="0"/>
        <v>UPDATE [MAP].[T_TRANS_COST_CODE] SET NEW_COST_CODE_ID = '01-1200', NEW_ITEM_ID = 'Contract Item' WHERE LEGACY_COST_CODE_ID = '01-1200' AND DATA_FOLDER_ID = 'sampl'</v>
      </c>
      <c r="G37" t="str">
        <f t="shared" si="1"/>
        <v>-</v>
      </c>
      <c r="H37" t="str">
        <f t="shared" si="2"/>
        <v>-</v>
      </c>
    </row>
    <row r="38" spans="1:8" x14ac:dyDescent="0.25">
      <c r="A38" s="2" t="s">
        <v>1</v>
      </c>
      <c r="B38" s="9" t="s">
        <v>3438</v>
      </c>
      <c r="C38" t="s">
        <v>3794</v>
      </c>
      <c r="D38" s="11" t="s">
        <v>3438</v>
      </c>
      <c r="E38" s="11" t="s">
        <v>4115</v>
      </c>
      <c r="F38" t="str">
        <f t="shared" si="0"/>
        <v>UPDATE [MAP].[T_TRANS_COST_CODE] SET NEW_COST_CODE_ID = '01-1205', NEW_ITEM_ID = 'Contract Item' WHERE LEGACY_COST_CODE_ID = '01-1205' AND DATA_FOLDER_ID = 'sampl'</v>
      </c>
      <c r="G38" t="str">
        <f t="shared" si="1"/>
        <v>-</v>
      </c>
      <c r="H38" t="str">
        <f t="shared" si="2"/>
        <v>-</v>
      </c>
    </row>
    <row r="39" spans="1:8" x14ac:dyDescent="0.25">
      <c r="A39" s="2" t="s">
        <v>1</v>
      </c>
      <c r="B39" s="9" t="s">
        <v>3439</v>
      </c>
      <c r="C39" t="s">
        <v>3795</v>
      </c>
      <c r="D39" s="11" t="s">
        <v>3440</v>
      </c>
      <c r="E39" s="11" t="s">
        <v>4115</v>
      </c>
      <c r="F39" t="str">
        <f t="shared" si="0"/>
        <v>UPDATE [MAP].[T_TRANS_COST_CODE] SET NEW_COST_CODE_ID = '01-1215', NEW_ITEM_ID = 'Contract Item' WHERE LEGACY_COST_CODE_ID = '01-1210' AND DATA_FOLDER_ID = 'sampl'</v>
      </c>
      <c r="G39" t="str">
        <f t="shared" si="1"/>
        <v>Changed</v>
      </c>
      <c r="H39" t="str">
        <f t="shared" si="2"/>
        <v>-</v>
      </c>
    </row>
    <row r="40" spans="1:8" x14ac:dyDescent="0.25">
      <c r="A40" s="2" t="s">
        <v>1</v>
      </c>
      <c r="B40" s="9" t="s">
        <v>3440</v>
      </c>
      <c r="F40" t="str">
        <f t="shared" si="0"/>
        <v>UPDATE [MAP].[T_TRANS_COST_CODE] SET NEW_COST_CODE_ID = '', NEW_ITEM_ID = '' WHERE LEGACY_COST_CODE_ID = '01-1215' AND DATA_FOLDER_ID = 'sampl'</v>
      </c>
      <c r="G40" t="str">
        <f t="shared" si="1"/>
        <v>Changed</v>
      </c>
      <c r="H40" t="str">
        <f t="shared" si="2"/>
        <v>-</v>
      </c>
    </row>
    <row r="41" spans="1:8" x14ac:dyDescent="0.25">
      <c r="A41" s="2" t="s">
        <v>1</v>
      </c>
      <c r="B41" s="9" t="s">
        <v>3441</v>
      </c>
      <c r="C41" t="s">
        <v>3796</v>
      </c>
      <c r="D41" s="11" t="s">
        <v>3441</v>
      </c>
      <c r="E41" s="11" t="s">
        <v>4115</v>
      </c>
      <c r="F41" t="str">
        <f t="shared" si="0"/>
        <v>UPDATE [MAP].[T_TRANS_COST_CODE] SET NEW_COST_CODE_ID = '01-1220', NEW_ITEM_ID = 'Contract Item' WHERE LEGACY_COST_CODE_ID = '01-1220' AND DATA_FOLDER_ID = 'sampl'</v>
      </c>
      <c r="G41" t="str">
        <f t="shared" si="1"/>
        <v>-</v>
      </c>
      <c r="H41" t="str">
        <f t="shared" si="2"/>
        <v>-</v>
      </c>
    </row>
    <row r="42" spans="1:8" x14ac:dyDescent="0.25">
      <c r="A42" s="2" t="s">
        <v>1</v>
      </c>
      <c r="B42" s="9" t="s">
        <v>3442</v>
      </c>
      <c r="C42" t="s">
        <v>3797</v>
      </c>
      <c r="D42" s="11" t="s">
        <v>3442</v>
      </c>
      <c r="E42" s="11" t="s">
        <v>4115</v>
      </c>
      <c r="F42" t="str">
        <f t="shared" si="0"/>
        <v>UPDATE [MAP].[T_TRANS_COST_CODE] SET NEW_COST_CODE_ID = '01-1225', NEW_ITEM_ID = 'Contract Item' WHERE LEGACY_COST_CODE_ID = '01-1225' AND DATA_FOLDER_ID = 'sampl'</v>
      </c>
      <c r="G42" t="str">
        <f t="shared" si="1"/>
        <v>-</v>
      </c>
      <c r="H42" t="str">
        <f t="shared" si="2"/>
        <v>-</v>
      </c>
    </row>
    <row r="43" spans="1:8" x14ac:dyDescent="0.25">
      <c r="A43" s="2" t="s">
        <v>1</v>
      </c>
      <c r="B43" s="9" t="s">
        <v>3443</v>
      </c>
      <c r="C43" t="s">
        <v>3798</v>
      </c>
      <c r="D43" s="11" t="s">
        <v>3443</v>
      </c>
      <c r="E43" s="11" t="s">
        <v>4115</v>
      </c>
      <c r="F43" t="str">
        <f t="shared" si="0"/>
        <v>UPDATE [MAP].[T_TRANS_COST_CODE] SET NEW_COST_CODE_ID = '01-1240', NEW_ITEM_ID = 'Contract Item' WHERE LEGACY_COST_CODE_ID = '01-1240' AND DATA_FOLDER_ID = 'sampl'</v>
      </c>
      <c r="G43" t="str">
        <f t="shared" si="1"/>
        <v>-</v>
      </c>
      <c r="H43" t="str">
        <f t="shared" si="2"/>
        <v>-</v>
      </c>
    </row>
    <row r="44" spans="1:8" x14ac:dyDescent="0.25">
      <c r="A44" s="2" t="s">
        <v>1</v>
      </c>
      <c r="B44" s="9" t="s">
        <v>3444</v>
      </c>
      <c r="C44" t="s">
        <v>3799</v>
      </c>
      <c r="D44" s="11" t="s">
        <v>3444</v>
      </c>
      <c r="E44" s="11" t="s">
        <v>4115</v>
      </c>
      <c r="F44" t="str">
        <f t="shared" si="0"/>
        <v>UPDATE [MAP].[T_TRANS_COST_CODE] SET NEW_COST_CODE_ID = '01-1245', NEW_ITEM_ID = 'Contract Item' WHERE LEGACY_COST_CODE_ID = '01-1245' AND DATA_FOLDER_ID = 'sampl'</v>
      </c>
      <c r="G44" t="str">
        <f t="shared" si="1"/>
        <v>-</v>
      </c>
      <c r="H44" t="str">
        <f t="shared" si="2"/>
        <v>-</v>
      </c>
    </row>
    <row r="45" spans="1:8" x14ac:dyDescent="0.25">
      <c r="A45" s="2" t="s">
        <v>1</v>
      </c>
      <c r="B45" s="9" t="s">
        <v>3445</v>
      </c>
      <c r="C45" t="s">
        <v>3800</v>
      </c>
      <c r="D45" s="11" t="s">
        <v>3445</v>
      </c>
      <c r="E45" s="11" t="s">
        <v>4115</v>
      </c>
      <c r="F45" t="str">
        <f t="shared" si="0"/>
        <v>UPDATE [MAP].[T_TRANS_COST_CODE] SET NEW_COST_CODE_ID = '01-1250', NEW_ITEM_ID = 'Contract Item' WHERE LEGACY_COST_CODE_ID = '01-1250' AND DATA_FOLDER_ID = 'sampl'</v>
      </c>
      <c r="G45" t="str">
        <f t="shared" si="1"/>
        <v>-</v>
      </c>
      <c r="H45" t="str">
        <f t="shared" si="2"/>
        <v>-</v>
      </c>
    </row>
    <row r="46" spans="1:8" x14ac:dyDescent="0.25">
      <c r="A46" s="2" t="s">
        <v>1</v>
      </c>
      <c r="B46" s="9" t="s">
        <v>3446</v>
      </c>
      <c r="C46" t="s">
        <v>3801</v>
      </c>
      <c r="D46" s="11" t="s">
        <v>3446</v>
      </c>
      <c r="E46" s="11" t="s">
        <v>4115</v>
      </c>
      <c r="F46" t="str">
        <f t="shared" si="0"/>
        <v>UPDATE [MAP].[T_TRANS_COST_CODE] SET NEW_COST_CODE_ID = '01-1255', NEW_ITEM_ID = 'Contract Item' WHERE LEGACY_COST_CODE_ID = '01-1255' AND DATA_FOLDER_ID = 'sampl'</v>
      </c>
      <c r="G46" t="str">
        <f t="shared" si="1"/>
        <v>-</v>
      </c>
      <c r="H46" t="str">
        <f t="shared" si="2"/>
        <v>-</v>
      </c>
    </row>
    <row r="47" spans="1:8" x14ac:dyDescent="0.25">
      <c r="A47" s="2" t="s">
        <v>1</v>
      </c>
      <c r="B47" s="9" t="s">
        <v>3447</v>
      </c>
      <c r="C47" t="s">
        <v>3802</v>
      </c>
      <c r="D47" s="11" t="s">
        <v>3447</v>
      </c>
      <c r="E47" s="11" t="s">
        <v>4115</v>
      </c>
      <c r="F47" t="str">
        <f t="shared" si="0"/>
        <v>UPDATE [MAP].[T_TRANS_COST_CODE] SET NEW_COST_CODE_ID = '01-1260', NEW_ITEM_ID = 'Contract Item' WHERE LEGACY_COST_CODE_ID = '01-1260' AND DATA_FOLDER_ID = 'sampl'</v>
      </c>
      <c r="G47" t="str">
        <f t="shared" si="1"/>
        <v>-</v>
      </c>
      <c r="H47" t="str">
        <f t="shared" si="2"/>
        <v>-</v>
      </c>
    </row>
    <row r="48" spans="1:8" x14ac:dyDescent="0.25">
      <c r="A48" s="2" t="s">
        <v>1</v>
      </c>
      <c r="B48" s="9" t="s">
        <v>3448</v>
      </c>
      <c r="C48" t="s">
        <v>3803</v>
      </c>
      <c r="D48" s="11" t="s">
        <v>3448</v>
      </c>
      <c r="E48" s="11" t="s">
        <v>4115</v>
      </c>
      <c r="F48" t="str">
        <f t="shared" si="0"/>
        <v>UPDATE [MAP].[T_TRANS_COST_CODE] SET NEW_COST_CODE_ID = '01-1265', NEW_ITEM_ID = 'Contract Item' WHERE LEGACY_COST_CODE_ID = '01-1265' AND DATA_FOLDER_ID = 'sampl'</v>
      </c>
      <c r="G48" t="str">
        <f t="shared" si="1"/>
        <v>-</v>
      </c>
      <c r="H48" t="str">
        <f t="shared" si="2"/>
        <v>-</v>
      </c>
    </row>
    <row r="49" spans="1:8" x14ac:dyDescent="0.25">
      <c r="A49" s="2" t="s">
        <v>1</v>
      </c>
      <c r="B49" s="9" t="s">
        <v>3449</v>
      </c>
      <c r="C49" t="s">
        <v>3804</v>
      </c>
      <c r="D49" s="11" t="s">
        <v>3449</v>
      </c>
      <c r="E49" s="11" t="s">
        <v>4115</v>
      </c>
      <c r="F49" t="str">
        <f t="shared" si="0"/>
        <v>UPDATE [MAP].[T_TRANS_COST_CODE] SET NEW_COST_CODE_ID = '01-1270', NEW_ITEM_ID = 'Contract Item' WHERE LEGACY_COST_CODE_ID = '01-1270' AND DATA_FOLDER_ID = 'sampl'</v>
      </c>
      <c r="G49" t="str">
        <f t="shared" si="1"/>
        <v>-</v>
      </c>
      <c r="H49" t="str">
        <f t="shared" si="2"/>
        <v>-</v>
      </c>
    </row>
    <row r="50" spans="1:8" x14ac:dyDescent="0.25">
      <c r="A50" s="2" t="s">
        <v>1</v>
      </c>
      <c r="B50" s="9" t="s">
        <v>3450</v>
      </c>
      <c r="C50" t="s">
        <v>3805</v>
      </c>
      <c r="D50" s="11" t="s">
        <v>3450</v>
      </c>
      <c r="E50" s="11" t="s">
        <v>4115</v>
      </c>
      <c r="F50" t="str">
        <f t="shared" si="0"/>
        <v>UPDATE [MAP].[T_TRANS_COST_CODE] SET NEW_COST_CODE_ID = '01-1275', NEW_ITEM_ID = 'Contract Item' WHERE LEGACY_COST_CODE_ID = '01-1275' AND DATA_FOLDER_ID = 'sampl'</v>
      </c>
      <c r="G50" t="str">
        <f t="shared" si="1"/>
        <v>-</v>
      </c>
      <c r="H50" t="str">
        <f t="shared" si="2"/>
        <v>-</v>
      </c>
    </row>
    <row r="51" spans="1:8" x14ac:dyDescent="0.25">
      <c r="A51" s="2" t="s">
        <v>1</v>
      </c>
      <c r="B51" s="9" t="s">
        <v>3451</v>
      </c>
      <c r="C51" t="s">
        <v>3806</v>
      </c>
      <c r="D51" s="11" t="s">
        <v>3451</v>
      </c>
      <c r="E51" s="11" t="s">
        <v>4115</v>
      </c>
      <c r="F51" t="str">
        <f t="shared" si="0"/>
        <v>UPDATE [MAP].[T_TRANS_COST_CODE] SET NEW_COST_CODE_ID = '01-1300', NEW_ITEM_ID = 'Contract Item' WHERE LEGACY_COST_CODE_ID = '01-1300' AND DATA_FOLDER_ID = 'sampl'</v>
      </c>
      <c r="G51" t="str">
        <f t="shared" si="1"/>
        <v>-</v>
      </c>
      <c r="H51" t="str">
        <f t="shared" si="2"/>
        <v>-</v>
      </c>
    </row>
    <row r="52" spans="1:8" x14ac:dyDescent="0.25">
      <c r="A52" s="2" t="s">
        <v>1</v>
      </c>
      <c r="B52" s="9" t="s">
        <v>3452</v>
      </c>
      <c r="C52" t="s">
        <v>3807</v>
      </c>
      <c r="D52" s="11" t="s">
        <v>3452</v>
      </c>
      <c r="E52" s="11" t="s">
        <v>4115</v>
      </c>
      <c r="F52" t="str">
        <f t="shared" si="0"/>
        <v>UPDATE [MAP].[T_TRANS_COST_CODE] SET NEW_COST_CODE_ID = '01-1305', NEW_ITEM_ID = 'Contract Item' WHERE LEGACY_COST_CODE_ID = '01-1305' AND DATA_FOLDER_ID = 'sampl'</v>
      </c>
      <c r="G52" t="str">
        <f t="shared" si="1"/>
        <v>-</v>
      </c>
      <c r="H52" t="str">
        <f t="shared" si="2"/>
        <v>-</v>
      </c>
    </row>
    <row r="53" spans="1:8" x14ac:dyDescent="0.25">
      <c r="A53" s="2" t="s">
        <v>1</v>
      </c>
      <c r="B53" s="9" t="s">
        <v>3453</v>
      </c>
      <c r="C53" t="s">
        <v>3808</v>
      </c>
      <c r="D53" s="11" t="s">
        <v>3453</v>
      </c>
      <c r="E53" s="11" t="s">
        <v>4115</v>
      </c>
      <c r="F53" t="str">
        <f t="shared" si="0"/>
        <v>UPDATE [MAP].[T_TRANS_COST_CODE] SET NEW_COST_CODE_ID = '01-1310', NEW_ITEM_ID = 'Contract Item' WHERE LEGACY_COST_CODE_ID = '01-1310' AND DATA_FOLDER_ID = 'sampl'</v>
      </c>
      <c r="G53" t="str">
        <f t="shared" si="1"/>
        <v>-</v>
      </c>
      <c r="H53" t="str">
        <f t="shared" si="2"/>
        <v>-</v>
      </c>
    </row>
    <row r="54" spans="1:8" x14ac:dyDescent="0.25">
      <c r="A54" s="2" t="s">
        <v>1</v>
      </c>
      <c r="B54" s="9" t="s">
        <v>3454</v>
      </c>
      <c r="C54" t="s">
        <v>3809</v>
      </c>
      <c r="D54" s="11" t="s">
        <v>3454</v>
      </c>
      <c r="E54" s="11" t="s">
        <v>4115</v>
      </c>
      <c r="F54" t="str">
        <f t="shared" si="0"/>
        <v>UPDATE [MAP].[T_TRANS_COST_CODE] SET NEW_COST_CODE_ID = '01-1315', NEW_ITEM_ID = 'Contract Item' WHERE LEGACY_COST_CODE_ID = '01-1315' AND DATA_FOLDER_ID = 'sampl'</v>
      </c>
      <c r="G54" t="str">
        <f t="shared" si="1"/>
        <v>-</v>
      </c>
      <c r="H54" t="str">
        <f t="shared" si="2"/>
        <v>-</v>
      </c>
    </row>
    <row r="55" spans="1:8" x14ac:dyDescent="0.25">
      <c r="A55" s="2" t="s">
        <v>1</v>
      </c>
      <c r="B55" s="9" t="s">
        <v>3455</v>
      </c>
      <c r="C55" t="s">
        <v>3810</v>
      </c>
      <c r="D55" s="11" t="s">
        <v>3455</v>
      </c>
      <c r="E55" s="11" t="s">
        <v>4115</v>
      </c>
      <c r="F55" t="str">
        <f t="shared" si="0"/>
        <v>UPDATE [MAP].[T_TRANS_COST_CODE] SET NEW_COST_CODE_ID = '01-1320', NEW_ITEM_ID = 'Contract Item' WHERE LEGACY_COST_CODE_ID = '01-1320' AND DATA_FOLDER_ID = 'sampl'</v>
      </c>
      <c r="G55" t="str">
        <f t="shared" si="1"/>
        <v>-</v>
      </c>
      <c r="H55" t="str">
        <f t="shared" si="2"/>
        <v>-</v>
      </c>
    </row>
    <row r="56" spans="1:8" x14ac:dyDescent="0.25">
      <c r="A56" s="2" t="s">
        <v>1</v>
      </c>
      <c r="B56" s="9" t="s">
        <v>3456</v>
      </c>
      <c r="C56" t="s">
        <v>3811</v>
      </c>
      <c r="D56" s="11" t="s">
        <v>3456</v>
      </c>
      <c r="E56" s="11" t="s">
        <v>4115</v>
      </c>
      <c r="F56" t="str">
        <f t="shared" si="0"/>
        <v>UPDATE [MAP].[T_TRANS_COST_CODE] SET NEW_COST_CODE_ID = '01-1325', NEW_ITEM_ID = 'Contract Item' WHERE LEGACY_COST_CODE_ID = '01-1325' AND DATA_FOLDER_ID = 'sampl'</v>
      </c>
      <c r="G56" t="str">
        <f t="shared" si="1"/>
        <v>-</v>
      </c>
      <c r="H56" t="str">
        <f t="shared" si="2"/>
        <v>-</v>
      </c>
    </row>
    <row r="57" spans="1:8" x14ac:dyDescent="0.25">
      <c r="A57" s="2" t="s">
        <v>1</v>
      </c>
      <c r="B57" s="9" t="s">
        <v>3457</v>
      </c>
      <c r="C57" t="s">
        <v>3812</v>
      </c>
      <c r="D57" s="11" t="s">
        <v>3457</v>
      </c>
      <c r="E57" s="11" t="s">
        <v>4115</v>
      </c>
      <c r="F57" t="str">
        <f t="shared" si="0"/>
        <v>UPDATE [MAP].[T_TRANS_COST_CODE] SET NEW_COST_CODE_ID = '01-1330', NEW_ITEM_ID = 'Contract Item' WHERE LEGACY_COST_CODE_ID = '01-1330' AND DATA_FOLDER_ID = 'sampl'</v>
      </c>
      <c r="G57" t="str">
        <f t="shared" si="1"/>
        <v>-</v>
      </c>
      <c r="H57" t="str">
        <f t="shared" si="2"/>
        <v>-</v>
      </c>
    </row>
    <row r="58" spans="1:8" x14ac:dyDescent="0.25">
      <c r="A58" s="2" t="s">
        <v>1</v>
      </c>
      <c r="B58" s="9" t="s">
        <v>3458</v>
      </c>
      <c r="C58" t="s">
        <v>3813</v>
      </c>
      <c r="D58" s="11" t="s">
        <v>3458</v>
      </c>
      <c r="E58" s="11" t="s">
        <v>4115</v>
      </c>
      <c r="F58" t="str">
        <f t="shared" si="0"/>
        <v>UPDATE [MAP].[T_TRANS_COST_CODE] SET NEW_COST_CODE_ID = '01-1335', NEW_ITEM_ID = 'Contract Item' WHERE LEGACY_COST_CODE_ID = '01-1335' AND DATA_FOLDER_ID = 'sampl'</v>
      </c>
      <c r="G58" t="str">
        <f t="shared" si="1"/>
        <v>-</v>
      </c>
      <c r="H58" t="str">
        <f t="shared" si="2"/>
        <v>-</v>
      </c>
    </row>
    <row r="59" spans="1:8" x14ac:dyDescent="0.25">
      <c r="A59" s="2" t="s">
        <v>1</v>
      </c>
      <c r="B59" s="9" t="s">
        <v>3459</v>
      </c>
      <c r="C59" t="s">
        <v>3814</v>
      </c>
      <c r="D59" s="11" t="s">
        <v>3459</v>
      </c>
      <c r="E59" s="11" t="s">
        <v>4115</v>
      </c>
      <c r="F59" t="str">
        <f t="shared" si="0"/>
        <v>UPDATE [MAP].[T_TRANS_COST_CODE] SET NEW_COST_CODE_ID = '01-1400', NEW_ITEM_ID = 'Contract Item' WHERE LEGACY_COST_CODE_ID = '01-1400' AND DATA_FOLDER_ID = 'sampl'</v>
      </c>
      <c r="G59" t="str">
        <f t="shared" si="1"/>
        <v>-</v>
      </c>
      <c r="H59" t="str">
        <f t="shared" si="2"/>
        <v>-</v>
      </c>
    </row>
    <row r="60" spans="1:8" x14ac:dyDescent="0.25">
      <c r="A60" s="2" t="s">
        <v>1</v>
      </c>
      <c r="B60" s="9" t="s">
        <v>3460</v>
      </c>
      <c r="C60" t="s">
        <v>3815</v>
      </c>
      <c r="D60" s="11" t="s">
        <v>3460</v>
      </c>
      <c r="E60" s="11" t="s">
        <v>4115</v>
      </c>
      <c r="F60" t="str">
        <f t="shared" si="0"/>
        <v>UPDATE [MAP].[T_TRANS_COST_CODE] SET NEW_COST_CODE_ID = '01-1405', NEW_ITEM_ID = 'Contract Item' WHERE LEGACY_COST_CODE_ID = '01-1405' AND DATA_FOLDER_ID = 'sampl'</v>
      </c>
      <c r="G60" t="str">
        <f t="shared" si="1"/>
        <v>-</v>
      </c>
      <c r="H60" t="str">
        <f t="shared" si="2"/>
        <v>-</v>
      </c>
    </row>
    <row r="61" spans="1:8" x14ac:dyDescent="0.25">
      <c r="A61" s="2" t="s">
        <v>1</v>
      </c>
      <c r="B61" s="9" t="s">
        <v>3461</v>
      </c>
      <c r="C61" t="s">
        <v>3816</v>
      </c>
      <c r="D61" s="11" t="s">
        <v>3461</v>
      </c>
      <c r="E61" s="11" t="s">
        <v>4115</v>
      </c>
      <c r="F61" t="str">
        <f t="shared" si="0"/>
        <v>UPDATE [MAP].[T_TRANS_COST_CODE] SET NEW_COST_CODE_ID = '01-1415', NEW_ITEM_ID = 'Contract Item' WHERE LEGACY_COST_CODE_ID = '01-1415' AND DATA_FOLDER_ID = 'sampl'</v>
      </c>
      <c r="G61" t="str">
        <f t="shared" si="1"/>
        <v>-</v>
      </c>
      <c r="H61" t="str">
        <f t="shared" si="2"/>
        <v>-</v>
      </c>
    </row>
    <row r="62" spans="1:8" x14ac:dyDescent="0.25">
      <c r="A62" s="2" t="s">
        <v>1</v>
      </c>
      <c r="B62" s="9" t="s">
        <v>3462</v>
      </c>
      <c r="C62" t="s">
        <v>3817</v>
      </c>
      <c r="D62" s="11" t="s">
        <v>3462</v>
      </c>
      <c r="E62" s="11" t="s">
        <v>4115</v>
      </c>
      <c r="F62" t="str">
        <f t="shared" si="0"/>
        <v>UPDATE [MAP].[T_TRANS_COST_CODE] SET NEW_COST_CODE_ID = '01-1420', NEW_ITEM_ID = 'Contract Item' WHERE LEGACY_COST_CODE_ID = '01-1420' AND DATA_FOLDER_ID = 'sampl'</v>
      </c>
      <c r="G62" t="str">
        <f t="shared" si="1"/>
        <v>-</v>
      </c>
      <c r="H62" t="str">
        <f t="shared" si="2"/>
        <v>-</v>
      </c>
    </row>
    <row r="63" spans="1:8" x14ac:dyDescent="0.25">
      <c r="A63" s="2" t="s">
        <v>1</v>
      </c>
      <c r="B63" s="9" t="s">
        <v>3463</v>
      </c>
      <c r="C63" t="s">
        <v>3818</v>
      </c>
      <c r="D63" s="11" t="s">
        <v>3463</v>
      </c>
      <c r="E63" s="11" t="s">
        <v>4115</v>
      </c>
      <c r="F63" t="str">
        <f t="shared" si="0"/>
        <v>UPDATE [MAP].[T_TRANS_COST_CODE] SET NEW_COST_CODE_ID = '01-1425', NEW_ITEM_ID = 'Contract Item' WHERE LEGACY_COST_CODE_ID = '01-1425' AND DATA_FOLDER_ID = 'sampl'</v>
      </c>
      <c r="G63" t="str">
        <f t="shared" si="1"/>
        <v>-</v>
      </c>
      <c r="H63" t="str">
        <f t="shared" si="2"/>
        <v>-</v>
      </c>
    </row>
    <row r="64" spans="1:8" x14ac:dyDescent="0.25">
      <c r="A64" s="2" t="s">
        <v>1</v>
      </c>
      <c r="B64" s="9" t="s">
        <v>3464</v>
      </c>
      <c r="C64" t="s">
        <v>3819</v>
      </c>
      <c r="D64" s="11" t="s">
        <v>3464</v>
      </c>
      <c r="E64" s="11" t="s">
        <v>4115</v>
      </c>
      <c r="F64" t="str">
        <f t="shared" si="0"/>
        <v>UPDATE [MAP].[T_TRANS_COST_CODE] SET NEW_COST_CODE_ID = '01-1430', NEW_ITEM_ID = 'Contract Item' WHERE LEGACY_COST_CODE_ID = '01-1430' AND DATA_FOLDER_ID = 'sampl'</v>
      </c>
      <c r="G64" t="str">
        <f t="shared" si="1"/>
        <v>-</v>
      </c>
      <c r="H64" t="str">
        <f t="shared" si="2"/>
        <v>-</v>
      </c>
    </row>
    <row r="65" spans="1:8" x14ac:dyDescent="0.25">
      <c r="A65" s="2" t="s">
        <v>1</v>
      </c>
      <c r="B65" s="9" t="s">
        <v>3465</v>
      </c>
      <c r="C65" t="s">
        <v>3820</v>
      </c>
      <c r="D65" s="11" t="s">
        <v>3465</v>
      </c>
      <c r="E65" s="11" t="s">
        <v>4115</v>
      </c>
      <c r="F65" t="str">
        <f t="shared" si="0"/>
        <v>UPDATE [MAP].[T_TRANS_COST_CODE] SET NEW_COST_CODE_ID = '01-1435', NEW_ITEM_ID = 'Contract Item' WHERE LEGACY_COST_CODE_ID = '01-1435' AND DATA_FOLDER_ID = 'sampl'</v>
      </c>
      <c r="G65" t="str">
        <f t="shared" si="1"/>
        <v>-</v>
      </c>
      <c r="H65" t="str">
        <f t="shared" si="2"/>
        <v>-</v>
      </c>
    </row>
    <row r="66" spans="1:8" x14ac:dyDescent="0.25">
      <c r="A66" s="2" t="s">
        <v>1</v>
      </c>
      <c r="B66" s="9" t="s">
        <v>3466</v>
      </c>
      <c r="C66" t="s">
        <v>3821</v>
      </c>
      <c r="D66" s="11" t="s">
        <v>3466</v>
      </c>
      <c r="E66" s="11" t="s">
        <v>4115</v>
      </c>
      <c r="F66" t="str">
        <f t="shared" si="0"/>
        <v>UPDATE [MAP].[T_TRANS_COST_CODE] SET NEW_COST_CODE_ID = '01-1440', NEW_ITEM_ID = 'Contract Item' WHERE LEGACY_COST_CODE_ID = '01-1440' AND DATA_FOLDER_ID = 'sampl'</v>
      </c>
      <c r="G66" t="str">
        <f t="shared" si="1"/>
        <v>-</v>
      </c>
      <c r="H66" t="str">
        <f t="shared" si="2"/>
        <v>-</v>
      </c>
    </row>
    <row r="67" spans="1:8" x14ac:dyDescent="0.25">
      <c r="A67" s="2" t="s">
        <v>1</v>
      </c>
      <c r="B67" s="9" t="s">
        <v>3467</v>
      </c>
      <c r="C67" t="s">
        <v>3822</v>
      </c>
      <c r="D67" s="11" t="s">
        <v>3467</v>
      </c>
      <c r="E67" s="11" t="s">
        <v>4115</v>
      </c>
      <c r="F67" t="str">
        <f t="shared" si="0"/>
        <v>UPDATE [MAP].[T_TRANS_COST_CODE] SET NEW_COST_CODE_ID = '01-1455', NEW_ITEM_ID = 'Contract Item' WHERE LEGACY_COST_CODE_ID = '01-1455' AND DATA_FOLDER_ID = 'sampl'</v>
      </c>
      <c r="G67" t="str">
        <f t="shared" si="1"/>
        <v>-</v>
      </c>
      <c r="H67" t="str">
        <f t="shared" si="2"/>
        <v>-</v>
      </c>
    </row>
    <row r="68" spans="1:8" x14ac:dyDescent="0.25">
      <c r="A68" s="2" t="s">
        <v>1</v>
      </c>
      <c r="B68" s="9" t="s">
        <v>3468</v>
      </c>
      <c r="C68" t="s">
        <v>3823</v>
      </c>
      <c r="D68" s="11" t="s">
        <v>3468</v>
      </c>
      <c r="E68" s="11" t="s">
        <v>4115</v>
      </c>
      <c r="F68" t="str">
        <f t="shared" si="0"/>
        <v>UPDATE [MAP].[T_TRANS_COST_CODE] SET NEW_COST_CODE_ID = '01-1460', NEW_ITEM_ID = 'Contract Item' WHERE LEGACY_COST_CODE_ID = '01-1460' AND DATA_FOLDER_ID = 'sampl'</v>
      </c>
      <c r="G68" t="str">
        <f t="shared" si="1"/>
        <v>-</v>
      </c>
      <c r="H68" t="str">
        <f t="shared" si="2"/>
        <v>-</v>
      </c>
    </row>
    <row r="69" spans="1:8" x14ac:dyDescent="0.25">
      <c r="A69" s="2" t="s">
        <v>1</v>
      </c>
      <c r="B69" s="9" t="s">
        <v>3469</v>
      </c>
      <c r="C69" t="s">
        <v>3824</v>
      </c>
      <c r="D69" s="11" t="s">
        <v>3469</v>
      </c>
      <c r="E69" s="11" t="s">
        <v>4115</v>
      </c>
      <c r="F69" t="str">
        <f t="shared" ref="F69:F132" si="3">"UPDATE "&amp;F$3&amp;" SET NEW_COST_CODE_ID = '"&amp;D69&amp;"', NEW_ITEM_ID = '"&amp;E69&amp;"' WHERE LEGACY_COST_CODE_ID = '"&amp;B69&amp;"' AND DATA_FOLDER_ID = '"&amp;A69&amp;"'"</f>
        <v>UPDATE [MAP].[T_TRANS_COST_CODE] SET NEW_COST_CODE_ID = '01-1465', NEW_ITEM_ID = 'Contract Item' WHERE LEGACY_COST_CODE_ID = '01-1465' AND DATA_FOLDER_ID = 'sampl'</v>
      </c>
      <c r="G69" t="str">
        <f t="shared" ref="G69:G132" si="4">IF(B69&lt;&gt;D69,"Changed","-")</f>
        <v>-</v>
      </c>
      <c r="H69" t="str">
        <f t="shared" ref="H69:H132" si="5">IF(B69="","Hide","-")</f>
        <v>-</v>
      </c>
    </row>
    <row r="70" spans="1:8" x14ac:dyDescent="0.25">
      <c r="A70" s="2" t="s">
        <v>1</v>
      </c>
      <c r="B70" s="9" t="s">
        <v>3470</v>
      </c>
      <c r="C70" t="s">
        <v>3825</v>
      </c>
      <c r="D70" s="11" t="s">
        <v>3470</v>
      </c>
      <c r="E70" s="11" t="s">
        <v>4115</v>
      </c>
      <c r="F70" t="str">
        <f t="shared" si="3"/>
        <v>UPDATE [MAP].[T_TRANS_COST_CODE] SET NEW_COST_CODE_ID = '01-1470', NEW_ITEM_ID = 'Contract Item' WHERE LEGACY_COST_CODE_ID = '01-1470' AND DATA_FOLDER_ID = 'sampl'</v>
      </c>
      <c r="G70" t="str">
        <f t="shared" si="4"/>
        <v>-</v>
      </c>
      <c r="H70" t="str">
        <f t="shared" si="5"/>
        <v>-</v>
      </c>
    </row>
    <row r="71" spans="1:8" x14ac:dyDescent="0.25">
      <c r="A71" s="2" t="s">
        <v>1</v>
      </c>
      <c r="B71" s="9" t="s">
        <v>3471</v>
      </c>
      <c r="C71" t="s">
        <v>3826</v>
      </c>
      <c r="D71" s="11" t="s">
        <v>3471</v>
      </c>
      <c r="E71" s="11" t="s">
        <v>4115</v>
      </c>
      <c r="F71" t="str">
        <f t="shared" si="3"/>
        <v>UPDATE [MAP].[T_TRANS_COST_CODE] SET NEW_COST_CODE_ID = '01-1500', NEW_ITEM_ID = 'Contract Item' WHERE LEGACY_COST_CODE_ID = '01-1500' AND DATA_FOLDER_ID = 'sampl'</v>
      </c>
      <c r="G71" t="str">
        <f t="shared" si="4"/>
        <v>-</v>
      </c>
      <c r="H71" t="str">
        <f t="shared" si="5"/>
        <v>-</v>
      </c>
    </row>
    <row r="72" spans="1:8" x14ac:dyDescent="0.25">
      <c r="A72" s="2" t="s">
        <v>1</v>
      </c>
      <c r="B72" s="9" t="s">
        <v>3472</v>
      </c>
      <c r="C72" t="s">
        <v>3827</v>
      </c>
      <c r="D72" s="11" t="s">
        <v>3472</v>
      </c>
      <c r="E72" s="11" t="s">
        <v>4115</v>
      </c>
      <c r="F72" t="str">
        <f t="shared" si="3"/>
        <v>UPDATE [MAP].[T_TRANS_COST_CODE] SET NEW_COST_CODE_ID = '01-1600', NEW_ITEM_ID = 'Contract Item' WHERE LEGACY_COST_CODE_ID = '01-1600' AND DATA_FOLDER_ID = 'sampl'</v>
      </c>
      <c r="G72" t="str">
        <f t="shared" si="4"/>
        <v>-</v>
      </c>
      <c r="H72" t="str">
        <f t="shared" si="5"/>
        <v>-</v>
      </c>
    </row>
    <row r="73" spans="1:8" x14ac:dyDescent="0.25">
      <c r="A73" s="2" t="s">
        <v>1</v>
      </c>
      <c r="B73" s="9" t="s">
        <v>3473</v>
      </c>
      <c r="C73" t="s">
        <v>3828</v>
      </c>
      <c r="D73" s="11" t="s">
        <v>3473</v>
      </c>
      <c r="E73" s="11" t="s">
        <v>4115</v>
      </c>
      <c r="F73" t="str">
        <f t="shared" si="3"/>
        <v>UPDATE [MAP].[T_TRANS_COST_CODE] SET NEW_COST_CODE_ID = '01-1605', NEW_ITEM_ID = 'Contract Item' WHERE LEGACY_COST_CODE_ID = '01-1605' AND DATA_FOLDER_ID = 'sampl'</v>
      </c>
      <c r="G73" t="str">
        <f t="shared" si="4"/>
        <v>-</v>
      </c>
      <c r="H73" t="str">
        <f t="shared" si="5"/>
        <v>-</v>
      </c>
    </row>
    <row r="74" spans="1:8" x14ac:dyDescent="0.25">
      <c r="A74" s="2" t="s">
        <v>1</v>
      </c>
      <c r="B74" s="9" t="s">
        <v>3474</v>
      </c>
      <c r="C74" t="s">
        <v>3829</v>
      </c>
      <c r="D74" s="11" t="s">
        <v>3474</v>
      </c>
      <c r="E74" s="11" t="s">
        <v>4115</v>
      </c>
      <c r="F74" t="str">
        <f t="shared" si="3"/>
        <v>UPDATE [MAP].[T_TRANS_COST_CODE] SET NEW_COST_CODE_ID = '01-1700', NEW_ITEM_ID = 'Contract Item' WHERE LEGACY_COST_CODE_ID = '01-1700' AND DATA_FOLDER_ID = 'sampl'</v>
      </c>
      <c r="G74" t="str">
        <f t="shared" si="4"/>
        <v>-</v>
      </c>
      <c r="H74" t="str">
        <f t="shared" si="5"/>
        <v>-</v>
      </c>
    </row>
    <row r="75" spans="1:8" x14ac:dyDescent="0.25">
      <c r="A75" s="2" t="s">
        <v>1</v>
      </c>
      <c r="B75" s="9" t="s">
        <v>3475</v>
      </c>
      <c r="C75" t="s">
        <v>3830</v>
      </c>
      <c r="D75" s="11" t="s">
        <v>3475</v>
      </c>
      <c r="E75" s="11" t="s">
        <v>4115</v>
      </c>
      <c r="F75" t="str">
        <f t="shared" si="3"/>
        <v>UPDATE [MAP].[T_TRANS_COST_CODE] SET NEW_COST_CODE_ID = '01-1705', NEW_ITEM_ID = 'Contract Item' WHERE LEGACY_COST_CODE_ID = '01-1705' AND DATA_FOLDER_ID = 'sampl'</v>
      </c>
      <c r="G75" t="str">
        <f t="shared" si="4"/>
        <v>-</v>
      </c>
      <c r="H75" t="str">
        <f t="shared" si="5"/>
        <v>-</v>
      </c>
    </row>
    <row r="76" spans="1:8" x14ac:dyDescent="0.25">
      <c r="A76" s="2" t="s">
        <v>1</v>
      </c>
      <c r="B76" s="9" t="s">
        <v>3476</v>
      </c>
      <c r="C76" t="s">
        <v>3831</v>
      </c>
      <c r="D76" s="11" t="s">
        <v>3476</v>
      </c>
      <c r="E76" s="11" t="s">
        <v>4115</v>
      </c>
      <c r="F76" t="str">
        <f t="shared" si="3"/>
        <v>UPDATE [MAP].[T_TRANS_COST_CODE] SET NEW_COST_CODE_ID = '01-1710', NEW_ITEM_ID = 'Contract Item' WHERE LEGACY_COST_CODE_ID = '01-1710' AND DATA_FOLDER_ID = 'sampl'</v>
      </c>
      <c r="G76" t="str">
        <f t="shared" si="4"/>
        <v>-</v>
      </c>
      <c r="H76" t="str">
        <f t="shared" si="5"/>
        <v>-</v>
      </c>
    </row>
    <row r="77" spans="1:8" x14ac:dyDescent="0.25">
      <c r="A77" s="2" t="s">
        <v>1</v>
      </c>
      <c r="B77" s="9" t="s">
        <v>3477</v>
      </c>
      <c r="C77" t="s">
        <v>3832</v>
      </c>
      <c r="D77" s="11" t="s">
        <v>3477</v>
      </c>
      <c r="E77" s="11" t="s">
        <v>4115</v>
      </c>
      <c r="F77" t="str">
        <f t="shared" si="3"/>
        <v>UPDATE [MAP].[T_TRANS_COST_CODE] SET NEW_COST_CODE_ID = '01-1715', NEW_ITEM_ID = 'Contract Item' WHERE LEGACY_COST_CODE_ID = '01-1715' AND DATA_FOLDER_ID = 'sampl'</v>
      </c>
      <c r="G77" t="str">
        <f t="shared" si="4"/>
        <v>-</v>
      </c>
      <c r="H77" t="str">
        <f t="shared" si="5"/>
        <v>-</v>
      </c>
    </row>
    <row r="78" spans="1:8" x14ac:dyDescent="0.25">
      <c r="A78" s="2" t="s">
        <v>1</v>
      </c>
      <c r="B78" s="9" t="s">
        <v>3478</v>
      </c>
      <c r="C78" t="s">
        <v>3833</v>
      </c>
      <c r="D78" s="11" t="s">
        <v>3478</v>
      </c>
      <c r="E78" s="11" t="s">
        <v>4115</v>
      </c>
      <c r="F78" t="str">
        <f t="shared" si="3"/>
        <v>UPDATE [MAP].[T_TRANS_COST_CODE] SET NEW_COST_CODE_ID = '01-1800', NEW_ITEM_ID = 'Contract Item' WHERE LEGACY_COST_CODE_ID = '01-1800' AND DATA_FOLDER_ID = 'sampl'</v>
      </c>
      <c r="G78" t="str">
        <f t="shared" si="4"/>
        <v>-</v>
      </c>
      <c r="H78" t="str">
        <f t="shared" si="5"/>
        <v>-</v>
      </c>
    </row>
    <row r="79" spans="1:8" x14ac:dyDescent="0.25">
      <c r="A79" s="2" t="s">
        <v>1</v>
      </c>
      <c r="B79" s="9" t="s">
        <v>3479</v>
      </c>
      <c r="C79" t="s">
        <v>3834</v>
      </c>
      <c r="D79" s="11" t="s">
        <v>3479</v>
      </c>
      <c r="E79" s="11" t="s">
        <v>4115</v>
      </c>
      <c r="F79" t="str">
        <f t="shared" si="3"/>
        <v>UPDATE [MAP].[T_TRANS_COST_CODE] SET NEW_COST_CODE_ID = '01-1900', NEW_ITEM_ID = 'Contract Item' WHERE LEGACY_COST_CODE_ID = '01-1900' AND DATA_FOLDER_ID = 'sampl'</v>
      </c>
      <c r="G79" t="str">
        <f t="shared" si="4"/>
        <v>-</v>
      </c>
      <c r="H79" t="str">
        <f t="shared" si="5"/>
        <v>-</v>
      </c>
    </row>
    <row r="80" spans="1:8" x14ac:dyDescent="0.25">
      <c r="A80" s="2" t="s">
        <v>1</v>
      </c>
      <c r="B80" s="9" t="s">
        <v>3480</v>
      </c>
      <c r="C80" t="s">
        <v>3835</v>
      </c>
      <c r="D80" s="11" t="s">
        <v>3480</v>
      </c>
      <c r="E80" s="11" t="s">
        <v>4115</v>
      </c>
      <c r="F80" t="str">
        <f t="shared" si="3"/>
        <v>UPDATE [MAP].[T_TRANS_COST_CODE] SET NEW_COST_CODE_ID = '01-2000', NEW_ITEM_ID = 'Contract Item' WHERE LEGACY_COST_CODE_ID = '01-2000' AND DATA_FOLDER_ID = 'sampl'</v>
      </c>
      <c r="G80" t="str">
        <f t="shared" si="4"/>
        <v>-</v>
      </c>
      <c r="H80" t="str">
        <f t="shared" si="5"/>
        <v>-</v>
      </c>
    </row>
    <row r="81" spans="1:8" x14ac:dyDescent="0.25">
      <c r="A81" s="2" t="s">
        <v>1</v>
      </c>
      <c r="B81" s="9" t="s">
        <v>3481</v>
      </c>
      <c r="C81" t="s">
        <v>3836</v>
      </c>
      <c r="D81" s="11" t="s">
        <v>3481</v>
      </c>
      <c r="E81" s="11" t="s">
        <v>4115</v>
      </c>
      <c r="F81" t="str">
        <f t="shared" si="3"/>
        <v>UPDATE [MAP].[T_TRANS_COST_CODE] SET NEW_COST_CODE_ID = '01-5123', NEW_ITEM_ID = 'Contract Item' WHERE LEGACY_COST_CODE_ID = '01-5123' AND DATA_FOLDER_ID = 'sampl'</v>
      </c>
      <c r="G81" t="str">
        <f t="shared" si="4"/>
        <v>-</v>
      </c>
      <c r="H81" t="str">
        <f t="shared" si="5"/>
        <v>-</v>
      </c>
    </row>
    <row r="82" spans="1:8" x14ac:dyDescent="0.25">
      <c r="A82" s="2" t="s">
        <v>1</v>
      </c>
      <c r="B82" s="9" t="s">
        <v>3482</v>
      </c>
      <c r="C82" t="s">
        <v>3837</v>
      </c>
      <c r="D82" s="11" t="s">
        <v>3482</v>
      </c>
      <c r="E82" s="11" t="s">
        <v>4114</v>
      </c>
      <c r="F82" t="str">
        <f t="shared" si="3"/>
        <v>UPDATE [MAP].[T_TRANS_COST_CODE] SET NEW_COST_CODE_ID = '02-0000', NEW_ITEM_ID = ' ' WHERE LEGACY_COST_CODE_ID = '02-0000' AND DATA_FOLDER_ID = 'sampl'</v>
      </c>
      <c r="G82" t="str">
        <f t="shared" si="4"/>
        <v>-</v>
      </c>
      <c r="H82" t="str">
        <f t="shared" si="5"/>
        <v>-</v>
      </c>
    </row>
    <row r="83" spans="1:8" x14ac:dyDescent="0.25">
      <c r="A83" s="2" t="s">
        <v>1</v>
      </c>
      <c r="B83" s="9" t="s">
        <v>3483</v>
      </c>
      <c r="C83" t="s">
        <v>3838</v>
      </c>
      <c r="D83" s="11" t="s">
        <v>3483</v>
      </c>
      <c r="E83" s="11" t="s">
        <v>4115</v>
      </c>
      <c r="F83" t="str">
        <f t="shared" si="3"/>
        <v>UPDATE [MAP].[T_TRANS_COST_CODE] SET NEW_COST_CODE_ID = '02-3000', NEW_ITEM_ID = 'Contract Item' WHERE LEGACY_COST_CODE_ID = '02-3000' AND DATA_FOLDER_ID = 'sampl'</v>
      </c>
      <c r="G83" t="str">
        <f t="shared" si="4"/>
        <v>-</v>
      </c>
      <c r="H83" t="str">
        <f t="shared" si="5"/>
        <v>-</v>
      </c>
    </row>
    <row r="84" spans="1:8" x14ac:dyDescent="0.25">
      <c r="A84" s="2" t="s">
        <v>1</v>
      </c>
      <c r="B84" s="9" t="s">
        <v>3484</v>
      </c>
      <c r="C84" t="s">
        <v>3839</v>
      </c>
      <c r="D84" s="11" t="s">
        <v>3484</v>
      </c>
      <c r="E84" s="11" t="s">
        <v>4115</v>
      </c>
      <c r="F84" t="str">
        <f t="shared" si="3"/>
        <v>UPDATE [MAP].[T_TRANS_COST_CODE] SET NEW_COST_CODE_ID = '02-4113', NEW_ITEM_ID = 'Contract Item' WHERE LEGACY_COST_CODE_ID = '02-4113' AND DATA_FOLDER_ID = 'sampl'</v>
      </c>
      <c r="G84" t="str">
        <f t="shared" si="4"/>
        <v>-</v>
      </c>
      <c r="H84" t="str">
        <f t="shared" si="5"/>
        <v>-</v>
      </c>
    </row>
    <row r="85" spans="1:8" x14ac:dyDescent="0.25">
      <c r="A85" s="2" t="s">
        <v>1</v>
      </c>
      <c r="B85" s="9" t="s">
        <v>3485</v>
      </c>
      <c r="C85" t="s">
        <v>3840</v>
      </c>
      <c r="D85" s="11" t="s">
        <v>3485</v>
      </c>
      <c r="E85" s="11" t="s">
        <v>4115</v>
      </c>
      <c r="F85" t="str">
        <f t="shared" si="3"/>
        <v>UPDATE [MAP].[T_TRANS_COST_CODE] SET NEW_COST_CODE_ID = '02-4116', NEW_ITEM_ID = 'Contract Item' WHERE LEGACY_COST_CODE_ID = '02-4116' AND DATA_FOLDER_ID = 'sampl'</v>
      </c>
      <c r="G85" t="str">
        <f t="shared" si="4"/>
        <v>-</v>
      </c>
      <c r="H85" t="str">
        <f t="shared" si="5"/>
        <v>-</v>
      </c>
    </row>
    <row r="86" spans="1:8" x14ac:dyDescent="0.25">
      <c r="A86" s="2" t="s">
        <v>1</v>
      </c>
      <c r="B86" s="9" t="s">
        <v>3486</v>
      </c>
      <c r="C86" t="s">
        <v>3841</v>
      </c>
      <c r="D86" s="11" t="s">
        <v>3486</v>
      </c>
      <c r="E86" s="11" t="s">
        <v>4115</v>
      </c>
      <c r="F86" t="str">
        <f t="shared" si="3"/>
        <v>UPDATE [MAP].[T_TRANS_COST_CODE] SET NEW_COST_CODE_ID = '02-4119', NEW_ITEM_ID = 'Contract Item' WHERE LEGACY_COST_CODE_ID = '02-4119' AND DATA_FOLDER_ID = 'sampl'</v>
      </c>
      <c r="G86" t="str">
        <f t="shared" si="4"/>
        <v>-</v>
      </c>
      <c r="H86" t="str">
        <f t="shared" si="5"/>
        <v>-</v>
      </c>
    </row>
    <row r="87" spans="1:8" x14ac:dyDescent="0.25">
      <c r="A87" s="2" t="s">
        <v>1</v>
      </c>
      <c r="B87" s="9" t="s">
        <v>3487</v>
      </c>
      <c r="C87" t="s">
        <v>3842</v>
      </c>
      <c r="D87" s="11" t="s">
        <v>3487</v>
      </c>
      <c r="E87" s="11" t="s">
        <v>4115</v>
      </c>
      <c r="F87" t="str">
        <f t="shared" si="3"/>
        <v>UPDATE [MAP].[T_TRANS_COST_CODE] SET NEW_COST_CODE_ID = '02-4901', NEW_ITEM_ID = 'Contract Item' WHERE LEGACY_COST_CODE_ID = '02-4901' AND DATA_FOLDER_ID = 'sampl'</v>
      </c>
      <c r="G87" t="str">
        <f t="shared" si="4"/>
        <v>-</v>
      </c>
      <c r="H87" t="str">
        <f t="shared" si="5"/>
        <v>-</v>
      </c>
    </row>
    <row r="88" spans="1:8" x14ac:dyDescent="0.25">
      <c r="A88" s="2" t="s">
        <v>1</v>
      </c>
      <c r="B88" s="9" t="s">
        <v>3488</v>
      </c>
      <c r="C88" t="s">
        <v>3843</v>
      </c>
      <c r="D88" s="11" t="s">
        <v>3488</v>
      </c>
      <c r="E88" s="11" t="s">
        <v>4115</v>
      </c>
      <c r="F88" t="str">
        <f t="shared" si="3"/>
        <v>UPDATE [MAP].[T_TRANS_COST_CODE] SET NEW_COST_CODE_ID = '02-4902', NEW_ITEM_ID = 'Contract Item' WHERE LEGACY_COST_CODE_ID = '02-4902' AND DATA_FOLDER_ID = 'sampl'</v>
      </c>
      <c r="G88" t="str">
        <f t="shared" si="4"/>
        <v>-</v>
      </c>
      <c r="H88" t="str">
        <f t="shared" si="5"/>
        <v>-</v>
      </c>
    </row>
    <row r="89" spans="1:8" x14ac:dyDescent="0.25">
      <c r="A89" s="2" t="s">
        <v>1</v>
      </c>
      <c r="B89" s="9" t="s">
        <v>3489</v>
      </c>
      <c r="C89" t="s">
        <v>3844</v>
      </c>
      <c r="D89" s="11" t="s">
        <v>3489</v>
      </c>
      <c r="E89" s="11" t="s">
        <v>4115</v>
      </c>
      <c r="F89" t="str">
        <f t="shared" si="3"/>
        <v>UPDATE [MAP].[T_TRANS_COST_CODE] SET NEW_COST_CODE_ID = '02-4903', NEW_ITEM_ID = 'Contract Item' WHERE LEGACY_COST_CODE_ID = '02-4903' AND DATA_FOLDER_ID = 'sampl'</v>
      </c>
      <c r="G89" t="str">
        <f t="shared" si="4"/>
        <v>-</v>
      </c>
      <c r="H89" t="str">
        <f t="shared" si="5"/>
        <v>-</v>
      </c>
    </row>
    <row r="90" spans="1:8" x14ac:dyDescent="0.25">
      <c r="A90" s="2" t="s">
        <v>1</v>
      </c>
      <c r="B90" s="9" t="s">
        <v>3490</v>
      </c>
      <c r="C90" t="s">
        <v>3845</v>
      </c>
      <c r="D90" s="11" t="s">
        <v>3490</v>
      </c>
      <c r="E90" s="11" t="s">
        <v>4115</v>
      </c>
      <c r="F90" t="str">
        <f t="shared" si="3"/>
        <v>UPDATE [MAP].[T_TRANS_COST_CODE] SET NEW_COST_CODE_ID = '02-4904', NEW_ITEM_ID = 'Contract Item' WHERE LEGACY_COST_CODE_ID = '02-4904' AND DATA_FOLDER_ID = 'sampl'</v>
      </c>
      <c r="G90" t="str">
        <f t="shared" si="4"/>
        <v>-</v>
      </c>
      <c r="H90" t="str">
        <f t="shared" si="5"/>
        <v>-</v>
      </c>
    </row>
    <row r="91" spans="1:8" x14ac:dyDescent="0.25">
      <c r="A91" s="2" t="s">
        <v>1</v>
      </c>
      <c r="B91" s="9" t="s">
        <v>3491</v>
      </c>
      <c r="C91" t="s">
        <v>3846</v>
      </c>
      <c r="D91" s="11" t="s">
        <v>3491</v>
      </c>
      <c r="E91" s="11" t="s">
        <v>4115</v>
      </c>
      <c r="F91" t="str">
        <f t="shared" si="3"/>
        <v>UPDATE [MAP].[T_TRANS_COST_CODE] SET NEW_COST_CODE_ID = '02-4905', NEW_ITEM_ID = 'Contract Item' WHERE LEGACY_COST_CODE_ID = '02-4905' AND DATA_FOLDER_ID = 'sampl'</v>
      </c>
      <c r="G91" t="str">
        <f t="shared" si="4"/>
        <v>-</v>
      </c>
      <c r="H91" t="str">
        <f t="shared" si="5"/>
        <v>-</v>
      </c>
    </row>
    <row r="92" spans="1:8" x14ac:dyDescent="0.25">
      <c r="A92" s="2" t="s">
        <v>1</v>
      </c>
      <c r="B92" s="9" t="s">
        <v>3492</v>
      </c>
      <c r="C92" t="s">
        <v>3847</v>
      </c>
      <c r="D92" s="11" t="s">
        <v>3492</v>
      </c>
      <c r="E92" s="11" t="s">
        <v>4115</v>
      </c>
      <c r="F92" t="str">
        <f t="shared" si="3"/>
        <v>UPDATE [MAP].[T_TRANS_COST_CODE] SET NEW_COST_CODE_ID = '02-5000', NEW_ITEM_ID = 'Contract Item' WHERE LEGACY_COST_CODE_ID = '02-5000' AND DATA_FOLDER_ID = 'sampl'</v>
      </c>
      <c r="G92" t="str">
        <f t="shared" si="4"/>
        <v>-</v>
      </c>
      <c r="H92" t="str">
        <f t="shared" si="5"/>
        <v>-</v>
      </c>
    </row>
    <row r="93" spans="1:8" x14ac:dyDescent="0.25">
      <c r="A93" s="2" t="s">
        <v>1</v>
      </c>
      <c r="B93" s="9" t="s">
        <v>3493</v>
      </c>
      <c r="C93" t="s">
        <v>3848</v>
      </c>
      <c r="D93" s="11" t="s">
        <v>3493</v>
      </c>
      <c r="E93" s="11" t="s">
        <v>4115</v>
      </c>
      <c r="F93" t="str">
        <f t="shared" si="3"/>
        <v>UPDATE [MAP].[T_TRANS_COST_CODE] SET NEW_COST_CODE_ID = '02-8000', NEW_ITEM_ID = 'Contract Item' WHERE LEGACY_COST_CODE_ID = '02-8000' AND DATA_FOLDER_ID = 'sampl'</v>
      </c>
      <c r="G93" t="str">
        <f t="shared" si="4"/>
        <v>-</v>
      </c>
      <c r="H93" t="str">
        <f t="shared" si="5"/>
        <v>-</v>
      </c>
    </row>
    <row r="94" spans="1:8" x14ac:dyDescent="0.25">
      <c r="A94" s="2" t="s">
        <v>1</v>
      </c>
      <c r="B94" s="9" t="s">
        <v>3494</v>
      </c>
      <c r="C94" t="s">
        <v>3849</v>
      </c>
      <c r="D94" s="11" t="s">
        <v>3494</v>
      </c>
      <c r="E94" s="11" t="s">
        <v>4114</v>
      </c>
      <c r="F94" t="str">
        <f t="shared" si="3"/>
        <v>UPDATE [MAP].[T_TRANS_COST_CODE] SET NEW_COST_CODE_ID = '03-0000', NEW_ITEM_ID = ' ' WHERE LEGACY_COST_CODE_ID = '03-0000' AND DATA_FOLDER_ID = 'sampl'</v>
      </c>
      <c r="G94" t="str">
        <f t="shared" si="4"/>
        <v>-</v>
      </c>
      <c r="H94" t="str">
        <f t="shared" si="5"/>
        <v>-</v>
      </c>
    </row>
    <row r="95" spans="1:8" x14ac:dyDescent="0.25">
      <c r="A95" s="2" t="s">
        <v>1</v>
      </c>
      <c r="B95" s="9" t="s">
        <v>3495</v>
      </c>
      <c r="C95" t="s">
        <v>3850</v>
      </c>
      <c r="D95" s="11" t="s">
        <v>3495</v>
      </c>
      <c r="E95" s="11" t="s">
        <v>4115</v>
      </c>
      <c r="F95" t="str">
        <f t="shared" si="3"/>
        <v>UPDATE [MAP].[T_TRANS_COST_CODE] SET NEW_COST_CODE_ID = '03-0130', NEW_ITEM_ID = 'Contract Item' WHERE LEGACY_COST_CODE_ID = '03-0130' AND DATA_FOLDER_ID = 'sampl'</v>
      </c>
      <c r="G95" t="str">
        <f t="shared" si="4"/>
        <v>-</v>
      </c>
      <c r="H95" t="str">
        <f t="shared" si="5"/>
        <v>-</v>
      </c>
    </row>
    <row r="96" spans="1:8" x14ac:dyDescent="0.25">
      <c r="A96" s="2" t="s">
        <v>1</v>
      </c>
      <c r="B96" s="9" t="s">
        <v>3496</v>
      </c>
      <c r="C96" t="s">
        <v>3851</v>
      </c>
      <c r="D96" s="11" t="s">
        <v>3496</v>
      </c>
      <c r="E96" s="11" t="s">
        <v>4115</v>
      </c>
      <c r="F96" t="str">
        <f t="shared" si="3"/>
        <v>UPDATE [MAP].[T_TRANS_COST_CODE] SET NEW_COST_CODE_ID = '03-0131', NEW_ITEM_ID = 'Contract Item' WHERE LEGACY_COST_CODE_ID = '03-0131' AND DATA_FOLDER_ID = 'sampl'</v>
      </c>
      <c r="G96" t="str">
        <f t="shared" si="4"/>
        <v>-</v>
      </c>
      <c r="H96" t="str">
        <f t="shared" si="5"/>
        <v>-</v>
      </c>
    </row>
    <row r="97" spans="1:8" x14ac:dyDescent="0.25">
      <c r="A97" s="2" t="s">
        <v>1</v>
      </c>
      <c r="B97" s="9" t="s">
        <v>3497</v>
      </c>
      <c r="C97" t="s">
        <v>3852</v>
      </c>
      <c r="D97" s="11" t="s">
        <v>3497</v>
      </c>
      <c r="E97" s="11" t="s">
        <v>4115</v>
      </c>
      <c r="F97" t="str">
        <f t="shared" si="3"/>
        <v>UPDATE [MAP].[T_TRANS_COST_CODE] SET NEW_COST_CODE_ID = '03-0132', NEW_ITEM_ID = 'Contract Item' WHERE LEGACY_COST_CODE_ID = '03-0132' AND DATA_FOLDER_ID = 'sampl'</v>
      </c>
      <c r="G97" t="str">
        <f t="shared" si="4"/>
        <v>-</v>
      </c>
      <c r="H97" t="str">
        <f t="shared" si="5"/>
        <v>-</v>
      </c>
    </row>
    <row r="98" spans="1:8" x14ac:dyDescent="0.25">
      <c r="A98" s="2" t="s">
        <v>1</v>
      </c>
      <c r="B98" s="9" t="s">
        <v>3498</v>
      </c>
      <c r="C98" t="s">
        <v>3853</v>
      </c>
      <c r="D98" s="11" t="s">
        <v>3498</v>
      </c>
      <c r="E98" s="11" t="s">
        <v>4115</v>
      </c>
      <c r="F98" t="str">
        <f t="shared" si="3"/>
        <v>UPDATE [MAP].[T_TRANS_COST_CODE] SET NEW_COST_CODE_ID = '03-0133', NEW_ITEM_ID = 'Contract Item' WHERE LEGACY_COST_CODE_ID = '03-0133' AND DATA_FOLDER_ID = 'sampl'</v>
      </c>
      <c r="G98" t="str">
        <f t="shared" si="4"/>
        <v>-</v>
      </c>
      <c r="H98" t="str">
        <f t="shared" si="5"/>
        <v>-</v>
      </c>
    </row>
    <row r="99" spans="1:8" x14ac:dyDescent="0.25">
      <c r="A99" s="2" t="s">
        <v>1</v>
      </c>
      <c r="B99" s="9" t="s">
        <v>3499</v>
      </c>
      <c r="C99" t="s">
        <v>3854</v>
      </c>
      <c r="D99" s="11" t="s">
        <v>3499</v>
      </c>
      <c r="E99" s="11" t="s">
        <v>4115</v>
      </c>
      <c r="F99" t="str">
        <f t="shared" si="3"/>
        <v>UPDATE [MAP].[T_TRANS_COST_CODE] SET NEW_COST_CODE_ID = '03-0134', NEW_ITEM_ID = 'Contract Item' WHERE LEGACY_COST_CODE_ID = '03-0134' AND DATA_FOLDER_ID = 'sampl'</v>
      </c>
      <c r="G99" t="str">
        <f t="shared" si="4"/>
        <v>-</v>
      </c>
      <c r="H99" t="str">
        <f t="shared" si="5"/>
        <v>-</v>
      </c>
    </row>
    <row r="100" spans="1:8" x14ac:dyDescent="0.25">
      <c r="A100" s="2" t="s">
        <v>1</v>
      </c>
      <c r="B100" s="9" t="s">
        <v>3500</v>
      </c>
      <c r="C100" t="s">
        <v>3855</v>
      </c>
      <c r="D100" s="11" t="s">
        <v>3500</v>
      </c>
      <c r="E100" s="11" t="s">
        <v>4115</v>
      </c>
      <c r="F100" t="str">
        <f t="shared" si="3"/>
        <v>UPDATE [MAP].[T_TRANS_COST_CODE] SET NEW_COST_CODE_ID = '03-0135', NEW_ITEM_ID = 'Contract Item' WHERE LEGACY_COST_CODE_ID = '03-0135' AND DATA_FOLDER_ID = 'sampl'</v>
      </c>
      <c r="G100" t="str">
        <f t="shared" si="4"/>
        <v>-</v>
      </c>
      <c r="H100" t="str">
        <f t="shared" si="5"/>
        <v>-</v>
      </c>
    </row>
    <row r="101" spans="1:8" x14ac:dyDescent="0.25">
      <c r="A101" s="2" t="s">
        <v>1</v>
      </c>
      <c r="B101" s="9" t="s">
        <v>3501</v>
      </c>
      <c r="C101" t="s">
        <v>3856</v>
      </c>
      <c r="D101" s="11" t="s">
        <v>3501</v>
      </c>
      <c r="E101" s="11" t="s">
        <v>4115</v>
      </c>
      <c r="F101" t="str">
        <f t="shared" si="3"/>
        <v>UPDATE [MAP].[T_TRANS_COST_CODE] SET NEW_COST_CODE_ID = '03-0136', NEW_ITEM_ID = 'Contract Item' WHERE LEGACY_COST_CODE_ID = '03-0136' AND DATA_FOLDER_ID = 'sampl'</v>
      </c>
      <c r="G101" t="str">
        <f t="shared" si="4"/>
        <v>-</v>
      </c>
      <c r="H101" t="str">
        <f t="shared" si="5"/>
        <v>-</v>
      </c>
    </row>
    <row r="102" spans="1:8" x14ac:dyDescent="0.25">
      <c r="A102" s="2" t="s">
        <v>1</v>
      </c>
      <c r="B102" s="9" t="s">
        <v>3502</v>
      </c>
      <c r="C102" t="s">
        <v>3857</v>
      </c>
      <c r="D102" s="11" t="s">
        <v>3502</v>
      </c>
      <c r="E102" s="11" t="s">
        <v>4115</v>
      </c>
      <c r="F102" t="str">
        <f t="shared" si="3"/>
        <v>UPDATE [MAP].[T_TRANS_COST_CODE] SET NEW_COST_CODE_ID = '03-1519', NEW_ITEM_ID = 'Contract Item' WHERE LEGACY_COST_CODE_ID = '03-1519' AND DATA_FOLDER_ID = 'sampl'</v>
      </c>
      <c r="G102" t="str">
        <f t="shared" si="4"/>
        <v>-</v>
      </c>
      <c r="H102" t="str">
        <f t="shared" si="5"/>
        <v>-</v>
      </c>
    </row>
    <row r="103" spans="1:8" x14ac:dyDescent="0.25">
      <c r="A103" s="2" t="s">
        <v>1</v>
      </c>
      <c r="B103" s="9" t="s">
        <v>3503</v>
      </c>
      <c r="C103" t="s">
        <v>3858</v>
      </c>
      <c r="D103" s="11" t="s">
        <v>3503</v>
      </c>
      <c r="E103" s="11" t="s">
        <v>4115</v>
      </c>
      <c r="F103" t="str">
        <f t="shared" si="3"/>
        <v>UPDATE [MAP].[T_TRANS_COST_CODE] SET NEW_COST_CODE_ID = '03-1520', NEW_ITEM_ID = 'Contract Item' WHERE LEGACY_COST_CODE_ID = '03-1520' AND DATA_FOLDER_ID = 'sampl'</v>
      </c>
      <c r="G103" t="str">
        <f t="shared" si="4"/>
        <v>-</v>
      </c>
      <c r="H103" t="str">
        <f t="shared" si="5"/>
        <v>-</v>
      </c>
    </row>
    <row r="104" spans="1:8" x14ac:dyDescent="0.25">
      <c r="A104" s="2" t="s">
        <v>1</v>
      </c>
      <c r="B104" s="9" t="s">
        <v>3504</v>
      </c>
      <c r="C104" t="s">
        <v>3859</v>
      </c>
      <c r="D104" s="11" t="s">
        <v>3504</v>
      </c>
      <c r="E104" s="11" t="s">
        <v>4115</v>
      </c>
      <c r="F104" t="str">
        <f t="shared" si="3"/>
        <v>UPDATE [MAP].[T_TRANS_COST_CODE] SET NEW_COST_CODE_ID = '03-2100', NEW_ITEM_ID = 'Contract Item' WHERE LEGACY_COST_CODE_ID = '03-2100' AND DATA_FOLDER_ID = 'sampl'</v>
      </c>
      <c r="G104" t="str">
        <f t="shared" si="4"/>
        <v>-</v>
      </c>
      <c r="H104" t="str">
        <f t="shared" si="5"/>
        <v>-</v>
      </c>
    </row>
    <row r="105" spans="1:8" x14ac:dyDescent="0.25">
      <c r="A105" s="2" t="s">
        <v>1</v>
      </c>
      <c r="B105" s="9" t="s">
        <v>3505</v>
      </c>
      <c r="C105" t="s">
        <v>3860</v>
      </c>
      <c r="D105" s="11" t="s">
        <v>3505</v>
      </c>
      <c r="E105" s="11" t="s">
        <v>4115</v>
      </c>
      <c r="F105" t="str">
        <f t="shared" si="3"/>
        <v>UPDATE [MAP].[T_TRANS_COST_CODE] SET NEW_COST_CODE_ID = '03-2200', NEW_ITEM_ID = 'Contract Item' WHERE LEGACY_COST_CODE_ID = '03-2200' AND DATA_FOLDER_ID = 'sampl'</v>
      </c>
      <c r="G105" t="str">
        <f t="shared" si="4"/>
        <v>-</v>
      </c>
      <c r="H105" t="str">
        <f t="shared" si="5"/>
        <v>-</v>
      </c>
    </row>
    <row r="106" spans="1:8" x14ac:dyDescent="0.25">
      <c r="A106" s="2" t="s">
        <v>1</v>
      </c>
      <c r="B106" s="9" t="s">
        <v>3506</v>
      </c>
      <c r="C106" t="s">
        <v>3861</v>
      </c>
      <c r="D106" s="11" t="s">
        <v>3506</v>
      </c>
      <c r="E106" s="11" t="s">
        <v>4115</v>
      </c>
      <c r="F106" t="str">
        <f t="shared" si="3"/>
        <v>UPDATE [MAP].[T_TRANS_COST_CODE] SET NEW_COST_CODE_ID = '03-3010', NEW_ITEM_ID = 'Contract Item' WHERE LEGACY_COST_CODE_ID = '03-3010' AND DATA_FOLDER_ID = 'sampl'</v>
      </c>
      <c r="G106" t="str">
        <f t="shared" si="4"/>
        <v>-</v>
      </c>
      <c r="H106" t="str">
        <f t="shared" si="5"/>
        <v>-</v>
      </c>
    </row>
    <row r="107" spans="1:8" x14ac:dyDescent="0.25">
      <c r="A107" s="2" t="s">
        <v>1</v>
      </c>
      <c r="B107" s="9" t="s">
        <v>3507</v>
      </c>
      <c r="C107" t="s">
        <v>3862</v>
      </c>
      <c r="D107" s="11" t="s">
        <v>3507</v>
      </c>
      <c r="E107" s="11" t="s">
        <v>4115</v>
      </c>
      <c r="F107" t="str">
        <f t="shared" si="3"/>
        <v>UPDATE [MAP].[T_TRANS_COST_CODE] SET NEW_COST_CODE_ID = '03-3015', NEW_ITEM_ID = 'Contract Item' WHERE LEGACY_COST_CODE_ID = '03-3015' AND DATA_FOLDER_ID = 'sampl'</v>
      </c>
      <c r="G107" t="str">
        <f t="shared" si="4"/>
        <v>-</v>
      </c>
      <c r="H107" t="str">
        <f t="shared" si="5"/>
        <v>-</v>
      </c>
    </row>
    <row r="108" spans="1:8" x14ac:dyDescent="0.25">
      <c r="A108" s="2" t="s">
        <v>1</v>
      </c>
      <c r="B108" s="9" t="s">
        <v>3508</v>
      </c>
      <c r="C108" t="s">
        <v>3863</v>
      </c>
      <c r="D108" s="11" t="s">
        <v>3508</v>
      </c>
      <c r="E108" s="11" t="s">
        <v>4115</v>
      </c>
      <c r="F108" t="str">
        <f t="shared" si="3"/>
        <v>UPDATE [MAP].[T_TRANS_COST_CODE] SET NEW_COST_CODE_ID = '03-3020', NEW_ITEM_ID = 'Contract Item' WHERE LEGACY_COST_CODE_ID = '03-3020' AND DATA_FOLDER_ID = 'sampl'</v>
      </c>
      <c r="G108" t="str">
        <f t="shared" si="4"/>
        <v>-</v>
      </c>
      <c r="H108" t="str">
        <f t="shared" si="5"/>
        <v>-</v>
      </c>
    </row>
    <row r="109" spans="1:8" x14ac:dyDescent="0.25">
      <c r="A109" s="2" t="s">
        <v>1</v>
      </c>
      <c r="B109" s="9" t="s">
        <v>3509</v>
      </c>
      <c r="C109" t="s">
        <v>3864</v>
      </c>
      <c r="D109" s="11" t="s">
        <v>3509</v>
      </c>
      <c r="E109" s="11" t="s">
        <v>4115</v>
      </c>
      <c r="F109" t="str">
        <f t="shared" si="3"/>
        <v>UPDATE [MAP].[T_TRANS_COST_CODE] SET NEW_COST_CODE_ID = '03-3025', NEW_ITEM_ID = 'Contract Item' WHERE LEGACY_COST_CODE_ID = '03-3025' AND DATA_FOLDER_ID = 'sampl'</v>
      </c>
      <c r="G109" t="str">
        <f t="shared" si="4"/>
        <v>-</v>
      </c>
      <c r="H109" t="str">
        <f t="shared" si="5"/>
        <v>-</v>
      </c>
    </row>
    <row r="110" spans="1:8" x14ac:dyDescent="0.25">
      <c r="A110" s="2" t="s">
        <v>1</v>
      </c>
      <c r="B110" s="9" t="s">
        <v>3510</v>
      </c>
      <c r="C110" t="s">
        <v>3865</v>
      </c>
      <c r="D110" s="11" t="s">
        <v>3510</v>
      </c>
      <c r="E110" s="11" t="s">
        <v>4115</v>
      </c>
      <c r="F110" t="str">
        <f t="shared" si="3"/>
        <v>UPDATE [MAP].[T_TRANS_COST_CODE] SET NEW_COST_CODE_ID = '03-3030', NEW_ITEM_ID = 'Contract Item' WHERE LEGACY_COST_CODE_ID = '03-3030' AND DATA_FOLDER_ID = 'sampl'</v>
      </c>
      <c r="G110" t="str">
        <f t="shared" si="4"/>
        <v>-</v>
      </c>
      <c r="H110" t="str">
        <f t="shared" si="5"/>
        <v>-</v>
      </c>
    </row>
    <row r="111" spans="1:8" x14ac:dyDescent="0.25">
      <c r="A111" s="2" t="s">
        <v>1</v>
      </c>
      <c r="B111" s="9" t="s">
        <v>3511</v>
      </c>
      <c r="C111" t="s">
        <v>3866</v>
      </c>
      <c r="D111" s="11" t="s">
        <v>3511</v>
      </c>
      <c r="E111" s="11" t="s">
        <v>4115</v>
      </c>
      <c r="F111" t="str">
        <f t="shared" si="3"/>
        <v>UPDATE [MAP].[T_TRANS_COST_CODE] SET NEW_COST_CODE_ID = '03-3040', NEW_ITEM_ID = 'Contract Item' WHERE LEGACY_COST_CODE_ID = '03-3040' AND DATA_FOLDER_ID = 'sampl'</v>
      </c>
      <c r="G111" t="str">
        <f t="shared" si="4"/>
        <v>-</v>
      </c>
      <c r="H111" t="str">
        <f t="shared" si="5"/>
        <v>-</v>
      </c>
    </row>
    <row r="112" spans="1:8" x14ac:dyDescent="0.25">
      <c r="A112" s="2" t="s">
        <v>1</v>
      </c>
      <c r="B112" s="9" t="s">
        <v>3512</v>
      </c>
      <c r="C112" t="s">
        <v>3867</v>
      </c>
      <c r="D112" s="11" t="s">
        <v>3512</v>
      </c>
      <c r="E112" s="11" t="s">
        <v>4115</v>
      </c>
      <c r="F112" t="str">
        <f t="shared" si="3"/>
        <v>UPDATE [MAP].[T_TRANS_COST_CODE] SET NEW_COST_CODE_ID = '03-3045', NEW_ITEM_ID = 'Contract Item' WHERE LEGACY_COST_CODE_ID = '03-3045' AND DATA_FOLDER_ID = 'sampl'</v>
      </c>
      <c r="G112" t="str">
        <f t="shared" si="4"/>
        <v>-</v>
      </c>
      <c r="H112" t="str">
        <f t="shared" si="5"/>
        <v>-</v>
      </c>
    </row>
    <row r="113" spans="1:8" x14ac:dyDescent="0.25">
      <c r="A113" s="2" t="s">
        <v>1</v>
      </c>
      <c r="B113" s="9" t="s">
        <v>3513</v>
      </c>
      <c r="C113" t="s">
        <v>3868</v>
      </c>
      <c r="D113" s="11" t="s">
        <v>3513</v>
      </c>
      <c r="E113" s="11" t="s">
        <v>4115</v>
      </c>
      <c r="F113" t="str">
        <f t="shared" si="3"/>
        <v>UPDATE [MAP].[T_TRANS_COST_CODE] SET NEW_COST_CODE_ID = '03-3050', NEW_ITEM_ID = 'Contract Item' WHERE LEGACY_COST_CODE_ID = '03-3050' AND DATA_FOLDER_ID = 'sampl'</v>
      </c>
      <c r="G113" t="str">
        <f t="shared" si="4"/>
        <v>-</v>
      </c>
      <c r="H113" t="str">
        <f t="shared" si="5"/>
        <v>-</v>
      </c>
    </row>
    <row r="114" spans="1:8" x14ac:dyDescent="0.25">
      <c r="A114" s="2" t="s">
        <v>1</v>
      </c>
      <c r="B114" s="9" t="s">
        <v>3514</v>
      </c>
      <c r="C114" t="s">
        <v>3869</v>
      </c>
      <c r="D114" s="11" t="s">
        <v>3514</v>
      </c>
      <c r="E114" s="11" t="s">
        <v>4115</v>
      </c>
      <c r="F114" t="str">
        <f t="shared" si="3"/>
        <v>UPDATE [MAP].[T_TRANS_COST_CODE] SET NEW_COST_CODE_ID = '03-3055', NEW_ITEM_ID = 'Contract Item' WHERE LEGACY_COST_CODE_ID = '03-3055' AND DATA_FOLDER_ID = 'sampl'</v>
      </c>
      <c r="G114" t="str">
        <f t="shared" si="4"/>
        <v>-</v>
      </c>
      <c r="H114" t="str">
        <f t="shared" si="5"/>
        <v>-</v>
      </c>
    </row>
    <row r="115" spans="1:8" x14ac:dyDescent="0.25">
      <c r="A115" s="2" t="s">
        <v>1</v>
      </c>
      <c r="B115" s="9" t="s">
        <v>3515</v>
      </c>
      <c r="C115" t="s">
        <v>3870</v>
      </c>
      <c r="D115" s="11" t="s">
        <v>3515</v>
      </c>
      <c r="E115" s="11" t="s">
        <v>4115</v>
      </c>
      <c r="F115" t="str">
        <f t="shared" si="3"/>
        <v>UPDATE [MAP].[T_TRANS_COST_CODE] SET NEW_COST_CODE_ID = '03-3060', NEW_ITEM_ID = 'Contract Item' WHERE LEGACY_COST_CODE_ID = '03-3060' AND DATA_FOLDER_ID = 'sampl'</v>
      </c>
      <c r="G115" t="str">
        <f t="shared" si="4"/>
        <v>-</v>
      </c>
      <c r="H115" t="str">
        <f t="shared" si="5"/>
        <v>-</v>
      </c>
    </row>
    <row r="116" spans="1:8" x14ac:dyDescent="0.25">
      <c r="A116" s="2" t="s">
        <v>1</v>
      </c>
      <c r="B116" s="9" t="s">
        <v>3516</v>
      </c>
      <c r="C116" t="s">
        <v>3871</v>
      </c>
      <c r="D116" s="11" t="s">
        <v>3516</v>
      </c>
      <c r="E116" s="11" t="s">
        <v>4115</v>
      </c>
      <c r="F116" t="str">
        <f t="shared" si="3"/>
        <v>UPDATE [MAP].[T_TRANS_COST_CODE] SET NEW_COST_CODE_ID = '03-3070', NEW_ITEM_ID = 'Contract Item' WHERE LEGACY_COST_CODE_ID = '03-3070' AND DATA_FOLDER_ID = 'sampl'</v>
      </c>
      <c r="G116" t="str">
        <f t="shared" si="4"/>
        <v>-</v>
      </c>
      <c r="H116" t="str">
        <f t="shared" si="5"/>
        <v>-</v>
      </c>
    </row>
    <row r="117" spans="1:8" x14ac:dyDescent="0.25">
      <c r="A117" s="2" t="s">
        <v>1</v>
      </c>
      <c r="B117" s="9" t="s">
        <v>3517</v>
      </c>
      <c r="C117" t="s">
        <v>3872</v>
      </c>
      <c r="D117" s="11" t="s">
        <v>3517</v>
      </c>
      <c r="E117" s="11" t="s">
        <v>4115</v>
      </c>
      <c r="F117" t="str">
        <f t="shared" si="3"/>
        <v>UPDATE [MAP].[T_TRANS_COST_CODE] SET NEW_COST_CODE_ID = '03-3075', NEW_ITEM_ID = 'Contract Item' WHERE LEGACY_COST_CODE_ID = '03-3075' AND DATA_FOLDER_ID = 'sampl'</v>
      </c>
      <c r="G117" t="str">
        <f t="shared" si="4"/>
        <v>-</v>
      </c>
      <c r="H117" t="str">
        <f t="shared" si="5"/>
        <v>-</v>
      </c>
    </row>
    <row r="118" spans="1:8" x14ac:dyDescent="0.25">
      <c r="A118" s="2" t="s">
        <v>1</v>
      </c>
      <c r="B118" s="9" t="s">
        <v>3518</v>
      </c>
      <c r="C118" t="s">
        <v>3873</v>
      </c>
      <c r="D118" s="11" t="s">
        <v>3518</v>
      </c>
      <c r="E118" s="11" t="s">
        <v>4115</v>
      </c>
      <c r="F118" t="str">
        <f t="shared" si="3"/>
        <v>UPDATE [MAP].[T_TRANS_COST_CODE] SET NEW_COST_CODE_ID = '03-3080', NEW_ITEM_ID = 'Contract Item' WHERE LEGACY_COST_CODE_ID = '03-3080' AND DATA_FOLDER_ID = 'sampl'</v>
      </c>
      <c r="G118" t="str">
        <f t="shared" si="4"/>
        <v>-</v>
      </c>
      <c r="H118" t="str">
        <f t="shared" si="5"/>
        <v>-</v>
      </c>
    </row>
    <row r="119" spans="1:8" x14ac:dyDescent="0.25">
      <c r="A119" s="2" t="s">
        <v>1</v>
      </c>
      <c r="B119" s="9" t="s">
        <v>3519</v>
      </c>
      <c r="C119" t="s">
        <v>3874</v>
      </c>
      <c r="D119" s="11" t="s">
        <v>3519</v>
      </c>
      <c r="E119" s="11" t="s">
        <v>4115</v>
      </c>
      <c r="F119" t="str">
        <f t="shared" si="3"/>
        <v>UPDATE [MAP].[T_TRANS_COST_CODE] SET NEW_COST_CODE_ID = '03-3090', NEW_ITEM_ID = 'Contract Item' WHERE LEGACY_COST_CODE_ID = '03-3090' AND DATA_FOLDER_ID = 'sampl'</v>
      </c>
      <c r="G119" t="str">
        <f t="shared" si="4"/>
        <v>-</v>
      </c>
      <c r="H119" t="str">
        <f t="shared" si="5"/>
        <v>-</v>
      </c>
    </row>
    <row r="120" spans="1:8" x14ac:dyDescent="0.25">
      <c r="A120" s="2" t="s">
        <v>1</v>
      </c>
      <c r="B120" s="9" t="s">
        <v>3520</v>
      </c>
      <c r="C120" t="s">
        <v>3875</v>
      </c>
      <c r="D120" s="11" t="s">
        <v>3520</v>
      </c>
      <c r="E120" s="11" t="s">
        <v>4115</v>
      </c>
      <c r="F120" t="str">
        <f t="shared" si="3"/>
        <v>UPDATE [MAP].[T_TRANS_COST_CODE] SET NEW_COST_CODE_ID = '03-3095', NEW_ITEM_ID = 'Contract Item' WHERE LEGACY_COST_CODE_ID = '03-3095' AND DATA_FOLDER_ID = 'sampl'</v>
      </c>
      <c r="G120" t="str">
        <f t="shared" si="4"/>
        <v>-</v>
      </c>
      <c r="H120" t="str">
        <f t="shared" si="5"/>
        <v>-</v>
      </c>
    </row>
    <row r="121" spans="1:8" x14ac:dyDescent="0.25">
      <c r="A121" s="2" t="s">
        <v>1</v>
      </c>
      <c r="B121" s="9" t="s">
        <v>3521</v>
      </c>
      <c r="C121" t="s">
        <v>3876</v>
      </c>
      <c r="D121" s="11" t="s">
        <v>3521</v>
      </c>
      <c r="E121" s="11" t="s">
        <v>4115</v>
      </c>
      <c r="F121" t="str">
        <f t="shared" si="3"/>
        <v>UPDATE [MAP].[T_TRANS_COST_CODE] SET NEW_COST_CODE_ID = '03-3099', NEW_ITEM_ID = 'Contract Item' WHERE LEGACY_COST_CODE_ID = '03-3099' AND DATA_FOLDER_ID = 'sampl'</v>
      </c>
      <c r="G121" t="str">
        <f t="shared" si="4"/>
        <v>-</v>
      </c>
      <c r="H121" t="str">
        <f t="shared" si="5"/>
        <v>-</v>
      </c>
    </row>
    <row r="122" spans="1:8" x14ac:dyDescent="0.25">
      <c r="A122" s="2" t="s">
        <v>1</v>
      </c>
      <c r="B122" s="9" t="s">
        <v>3522</v>
      </c>
      <c r="C122" t="s">
        <v>3877</v>
      </c>
      <c r="D122" s="11" t="s">
        <v>3522</v>
      </c>
      <c r="E122" s="11" t="s">
        <v>4115</v>
      </c>
      <c r="F122" t="str">
        <f t="shared" si="3"/>
        <v>UPDATE [MAP].[T_TRANS_COST_CODE] SET NEW_COST_CODE_ID = '03-4000', NEW_ITEM_ID = 'Contract Item' WHERE LEGACY_COST_CODE_ID = '03-4000' AND DATA_FOLDER_ID = 'sampl'</v>
      </c>
      <c r="G122" t="str">
        <f t="shared" si="4"/>
        <v>-</v>
      </c>
      <c r="H122" t="str">
        <f t="shared" si="5"/>
        <v>-</v>
      </c>
    </row>
    <row r="123" spans="1:8" x14ac:dyDescent="0.25">
      <c r="A123" s="2" t="s">
        <v>1</v>
      </c>
      <c r="B123" s="9" t="s">
        <v>3523</v>
      </c>
      <c r="C123" t="s">
        <v>3878</v>
      </c>
      <c r="D123" s="11" t="s">
        <v>3523</v>
      </c>
      <c r="E123" s="11" t="s">
        <v>4115</v>
      </c>
      <c r="F123" t="str">
        <f t="shared" si="3"/>
        <v>UPDATE [MAP].[T_TRANS_COST_CODE] SET NEW_COST_CODE_ID = '03-4050', NEW_ITEM_ID = 'Contract Item' WHERE LEGACY_COST_CODE_ID = '03-4050' AND DATA_FOLDER_ID = 'sampl'</v>
      </c>
      <c r="G123" t="str">
        <f t="shared" si="4"/>
        <v>-</v>
      </c>
      <c r="H123" t="str">
        <f t="shared" si="5"/>
        <v>-</v>
      </c>
    </row>
    <row r="124" spans="1:8" x14ac:dyDescent="0.25">
      <c r="A124" s="2" t="s">
        <v>1</v>
      </c>
      <c r="B124" s="9" t="s">
        <v>3524</v>
      </c>
      <c r="C124" t="s">
        <v>3879</v>
      </c>
      <c r="D124" s="11" t="s">
        <v>3524</v>
      </c>
      <c r="E124" s="11" t="s">
        <v>4115</v>
      </c>
      <c r="F124" t="str">
        <f t="shared" si="3"/>
        <v>UPDATE [MAP].[T_TRANS_COST_CODE] SET NEW_COST_CODE_ID = '03-6000', NEW_ITEM_ID = 'Contract Item' WHERE LEGACY_COST_CODE_ID = '03-6000' AND DATA_FOLDER_ID = 'sampl'</v>
      </c>
      <c r="G124" t="str">
        <f t="shared" si="4"/>
        <v>-</v>
      </c>
      <c r="H124" t="str">
        <f t="shared" si="5"/>
        <v>-</v>
      </c>
    </row>
    <row r="125" spans="1:8" x14ac:dyDescent="0.25">
      <c r="A125" s="2" t="s">
        <v>1</v>
      </c>
      <c r="B125" s="9" t="s">
        <v>3525</v>
      </c>
      <c r="C125" t="s">
        <v>3880</v>
      </c>
      <c r="D125" s="11" t="s">
        <v>3525</v>
      </c>
      <c r="E125" s="11" t="s">
        <v>4115</v>
      </c>
      <c r="F125" t="str">
        <f t="shared" si="3"/>
        <v>UPDATE [MAP].[T_TRANS_COST_CODE] SET NEW_COST_CODE_ID = '03-8100', NEW_ITEM_ID = 'Contract Item' WHERE LEGACY_COST_CODE_ID = '03-8100' AND DATA_FOLDER_ID = 'sampl'</v>
      </c>
      <c r="G125" t="str">
        <f t="shared" si="4"/>
        <v>-</v>
      </c>
      <c r="H125" t="str">
        <f t="shared" si="5"/>
        <v>-</v>
      </c>
    </row>
    <row r="126" spans="1:8" x14ac:dyDescent="0.25">
      <c r="A126" s="2" t="s">
        <v>1</v>
      </c>
      <c r="B126" s="9" t="s">
        <v>3526</v>
      </c>
      <c r="C126" t="s">
        <v>3881</v>
      </c>
      <c r="D126" s="11" t="s">
        <v>3526</v>
      </c>
      <c r="E126" s="11" t="s">
        <v>4115</v>
      </c>
      <c r="F126" t="str">
        <f t="shared" si="3"/>
        <v>UPDATE [MAP].[T_TRANS_COST_CODE] SET NEW_COST_CODE_ID = '03-8200', NEW_ITEM_ID = 'Contract Item' WHERE LEGACY_COST_CODE_ID = '03-8200' AND DATA_FOLDER_ID = 'sampl'</v>
      </c>
      <c r="G126" t="str">
        <f t="shared" si="4"/>
        <v>-</v>
      </c>
      <c r="H126" t="str">
        <f t="shared" si="5"/>
        <v>-</v>
      </c>
    </row>
    <row r="127" spans="1:8" x14ac:dyDescent="0.25">
      <c r="A127" s="2" t="s">
        <v>1</v>
      </c>
      <c r="B127" s="9" t="s">
        <v>3527</v>
      </c>
      <c r="C127" t="s">
        <v>3882</v>
      </c>
      <c r="D127" s="11" t="s">
        <v>3527</v>
      </c>
      <c r="E127" s="11" t="s">
        <v>4114</v>
      </c>
      <c r="F127" t="str">
        <f t="shared" si="3"/>
        <v>UPDATE [MAP].[T_TRANS_COST_CODE] SET NEW_COST_CODE_ID = '04-0000', NEW_ITEM_ID = ' ' WHERE LEGACY_COST_CODE_ID = '04-0000' AND DATA_FOLDER_ID = 'sampl'</v>
      </c>
      <c r="G127" t="str">
        <f t="shared" si="4"/>
        <v>-</v>
      </c>
      <c r="H127" t="str">
        <f t="shared" si="5"/>
        <v>-</v>
      </c>
    </row>
    <row r="128" spans="1:8" x14ac:dyDescent="0.25">
      <c r="A128" s="2" t="s">
        <v>1</v>
      </c>
      <c r="B128" s="9" t="s">
        <v>3528</v>
      </c>
      <c r="C128" t="s">
        <v>3883</v>
      </c>
      <c r="D128" s="11" t="s">
        <v>3528</v>
      </c>
      <c r="E128" s="11" t="s">
        <v>4115</v>
      </c>
      <c r="F128" t="str">
        <f t="shared" si="3"/>
        <v>UPDATE [MAP].[T_TRANS_COST_CODE] SET NEW_COST_CODE_ID = '04-0120', NEW_ITEM_ID = 'Contract Item' WHERE LEGACY_COST_CODE_ID = '04-0120' AND DATA_FOLDER_ID = 'sampl'</v>
      </c>
      <c r="G128" t="str">
        <f t="shared" si="4"/>
        <v>-</v>
      </c>
      <c r="H128" t="str">
        <f t="shared" si="5"/>
        <v>-</v>
      </c>
    </row>
    <row r="129" spans="1:8" x14ac:dyDescent="0.25">
      <c r="A129" s="2" t="s">
        <v>1</v>
      </c>
      <c r="B129" s="9" t="s">
        <v>3529</v>
      </c>
      <c r="C129" t="s">
        <v>3884</v>
      </c>
      <c r="D129" s="11" t="s">
        <v>3529</v>
      </c>
      <c r="E129" s="11" t="s">
        <v>4115</v>
      </c>
      <c r="F129" t="str">
        <f t="shared" si="3"/>
        <v>UPDATE [MAP].[T_TRANS_COST_CODE] SET NEW_COST_CODE_ID = '04-2000', NEW_ITEM_ID = 'Contract Item' WHERE LEGACY_COST_CODE_ID = '04-2000' AND DATA_FOLDER_ID = 'sampl'</v>
      </c>
      <c r="G129" t="str">
        <f t="shared" si="4"/>
        <v>-</v>
      </c>
      <c r="H129" t="str">
        <f t="shared" si="5"/>
        <v>-</v>
      </c>
    </row>
    <row r="130" spans="1:8" x14ac:dyDescent="0.25">
      <c r="A130" s="2" t="s">
        <v>1</v>
      </c>
      <c r="B130" s="9" t="s">
        <v>3530</v>
      </c>
      <c r="C130" t="s">
        <v>3885</v>
      </c>
      <c r="D130" s="11" t="s">
        <v>3530</v>
      </c>
      <c r="E130" s="11" t="s">
        <v>4114</v>
      </c>
      <c r="F130" t="str">
        <f t="shared" si="3"/>
        <v>UPDATE [MAP].[T_TRANS_COST_CODE] SET NEW_COST_CODE_ID = '05-0000', NEW_ITEM_ID = ' ' WHERE LEGACY_COST_CODE_ID = '05-0000' AND DATA_FOLDER_ID = 'sampl'</v>
      </c>
      <c r="G130" t="str">
        <f t="shared" si="4"/>
        <v>-</v>
      </c>
      <c r="H130" t="str">
        <f t="shared" si="5"/>
        <v>-</v>
      </c>
    </row>
    <row r="131" spans="1:8" x14ac:dyDescent="0.25">
      <c r="A131" s="2" t="s">
        <v>1</v>
      </c>
      <c r="B131" s="9" t="s">
        <v>3531</v>
      </c>
      <c r="C131" t="s">
        <v>3886</v>
      </c>
      <c r="D131" s="11" t="s">
        <v>3531</v>
      </c>
      <c r="E131" s="11" t="s">
        <v>4115</v>
      </c>
      <c r="F131" t="str">
        <f t="shared" si="3"/>
        <v>UPDATE [MAP].[T_TRANS_COST_CODE] SET NEW_COST_CODE_ID = '05-1000', NEW_ITEM_ID = 'Contract Item' WHERE LEGACY_COST_CODE_ID = '05-1000' AND DATA_FOLDER_ID = 'sampl'</v>
      </c>
      <c r="G131" t="str">
        <f t="shared" si="4"/>
        <v>-</v>
      </c>
      <c r="H131" t="str">
        <f t="shared" si="5"/>
        <v>-</v>
      </c>
    </row>
    <row r="132" spans="1:8" x14ac:dyDescent="0.25">
      <c r="A132" s="2" t="s">
        <v>1</v>
      </c>
      <c r="B132" s="9" t="s">
        <v>3532</v>
      </c>
      <c r="C132" t="s">
        <v>3887</v>
      </c>
      <c r="D132" s="11" t="s">
        <v>3532</v>
      </c>
      <c r="E132" s="11" t="s">
        <v>4115</v>
      </c>
      <c r="F132" t="str">
        <f t="shared" si="3"/>
        <v>UPDATE [MAP].[T_TRANS_COST_CODE] SET NEW_COST_CODE_ID = '05-4100', NEW_ITEM_ID = 'Contract Item' WHERE LEGACY_COST_CODE_ID = '05-4100' AND DATA_FOLDER_ID = 'sampl'</v>
      </c>
      <c r="G132" t="str">
        <f t="shared" si="4"/>
        <v>-</v>
      </c>
      <c r="H132" t="str">
        <f t="shared" si="5"/>
        <v>-</v>
      </c>
    </row>
    <row r="133" spans="1:8" x14ac:dyDescent="0.25">
      <c r="A133" s="2" t="s">
        <v>1</v>
      </c>
      <c r="B133" s="9" t="s">
        <v>3533</v>
      </c>
      <c r="C133" t="s">
        <v>3888</v>
      </c>
      <c r="D133" s="11" t="s">
        <v>3533</v>
      </c>
      <c r="E133" s="11" t="s">
        <v>4115</v>
      </c>
      <c r="F133" t="str">
        <f t="shared" ref="F133:F196" si="6">"UPDATE "&amp;F$3&amp;" SET NEW_COST_CODE_ID = '"&amp;D133&amp;"', NEW_ITEM_ID = '"&amp;E133&amp;"' WHERE LEGACY_COST_CODE_ID = '"&amp;B133&amp;"' AND DATA_FOLDER_ID = '"&amp;A133&amp;"'"</f>
        <v>UPDATE [MAP].[T_TRANS_COST_CODE] SET NEW_COST_CODE_ID = '05-5000', NEW_ITEM_ID = 'Contract Item' WHERE LEGACY_COST_CODE_ID = '05-5000' AND DATA_FOLDER_ID = 'sampl'</v>
      </c>
      <c r="G133" t="str">
        <f t="shared" ref="G133:G196" si="7">IF(B133&lt;&gt;D133,"Changed","-")</f>
        <v>-</v>
      </c>
      <c r="H133" t="str">
        <f t="shared" ref="H133:H196" si="8">IF(B133="","Hide","-")</f>
        <v>-</v>
      </c>
    </row>
    <row r="134" spans="1:8" x14ac:dyDescent="0.25">
      <c r="A134" s="2" t="s">
        <v>1</v>
      </c>
      <c r="B134" s="9" t="s">
        <v>3534</v>
      </c>
      <c r="C134" t="s">
        <v>3889</v>
      </c>
      <c r="D134" s="11" t="s">
        <v>3534</v>
      </c>
      <c r="E134" s="11" t="s">
        <v>4115</v>
      </c>
      <c r="F134" t="str">
        <f t="shared" si="6"/>
        <v>UPDATE [MAP].[T_TRANS_COST_CODE] SET NEW_COST_CODE_ID = '05-5500', NEW_ITEM_ID = 'Contract Item' WHERE LEGACY_COST_CODE_ID = '05-5500' AND DATA_FOLDER_ID = 'sampl'</v>
      </c>
      <c r="G134" t="str">
        <f t="shared" si="7"/>
        <v>-</v>
      </c>
      <c r="H134" t="str">
        <f t="shared" si="8"/>
        <v>-</v>
      </c>
    </row>
    <row r="135" spans="1:8" x14ac:dyDescent="0.25">
      <c r="A135" s="2" t="s">
        <v>1</v>
      </c>
      <c r="B135" s="9" t="s">
        <v>3535</v>
      </c>
      <c r="C135" t="s">
        <v>3890</v>
      </c>
      <c r="D135" s="11" t="s">
        <v>3535</v>
      </c>
      <c r="E135" s="11" t="s">
        <v>4115</v>
      </c>
      <c r="F135" t="str">
        <f t="shared" si="6"/>
        <v>UPDATE [MAP].[T_TRANS_COST_CODE] SET NEW_COST_CODE_ID = '05-7000', NEW_ITEM_ID = 'Contract Item' WHERE LEGACY_COST_CODE_ID = '05-7000' AND DATA_FOLDER_ID = 'sampl'</v>
      </c>
      <c r="G135" t="str">
        <f t="shared" si="7"/>
        <v>-</v>
      </c>
      <c r="H135" t="str">
        <f t="shared" si="8"/>
        <v>-</v>
      </c>
    </row>
    <row r="136" spans="1:8" x14ac:dyDescent="0.25">
      <c r="A136" s="2" t="s">
        <v>1</v>
      </c>
      <c r="B136" s="9" t="s">
        <v>3536</v>
      </c>
      <c r="C136" t="s">
        <v>3891</v>
      </c>
      <c r="D136" s="11" t="s">
        <v>3536</v>
      </c>
      <c r="E136" s="11" t="s">
        <v>4114</v>
      </c>
      <c r="F136" t="str">
        <f t="shared" si="6"/>
        <v>UPDATE [MAP].[T_TRANS_COST_CODE] SET NEW_COST_CODE_ID = '06-0000', NEW_ITEM_ID = ' ' WHERE LEGACY_COST_CODE_ID = '06-0000' AND DATA_FOLDER_ID = 'sampl'</v>
      </c>
      <c r="G136" t="str">
        <f t="shared" si="7"/>
        <v>-</v>
      </c>
      <c r="H136" t="str">
        <f t="shared" si="8"/>
        <v>-</v>
      </c>
    </row>
    <row r="137" spans="1:8" x14ac:dyDescent="0.25">
      <c r="A137" s="2" t="s">
        <v>1</v>
      </c>
      <c r="B137" s="9" t="s">
        <v>3537</v>
      </c>
      <c r="C137" t="s">
        <v>3892</v>
      </c>
      <c r="D137" s="11" t="s">
        <v>3537</v>
      </c>
      <c r="E137" s="11" t="s">
        <v>4115</v>
      </c>
      <c r="F137" t="str">
        <f t="shared" si="6"/>
        <v>UPDATE [MAP].[T_TRANS_COST_CODE] SET NEW_COST_CODE_ID = '06-1053', NEW_ITEM_ID = 'Contract Item' WHERE LEGACY_COST_CODE_ID = '06-1053' AND DATA_FOLDER_ID = 'sampl'</v>
      </c>
      <c r="G137" t="str">
        <f t="shared" si="7"/>
        <v>-</v>
      </c>
      <c r="H137" t="str">
        <f t="shared" si="8"/>
        <v>-</v>
      </c>
    </row>
    <row r="138" spans="1:8" x14ac:dyDescent="0.25">
      <c r="A138" s="2" t="s">
        <v>1</v>
      </c>
      <c r="B138" s="9" t="s">
        <v>3538</v>
      </c>
      <c r="C138" t="s">
        <v>3893</v>
      </c>
      <c r="D138" s="11" t="s">
        <v>3538</v>
      </c>
      <c r="E138" s="11" t="s">
        <v>4115</v>
      </c>
      <c r="F138" t="str">
        <f t="shared" si="6"/>
        <v>UPDATE [MAP].[T_TRANS_COST_CODE] SET NEW_COST_CODE_ID = '06-1054', NEW_ITEM_ID = 'Contract Item' WHERE LEGACY_COST_CODE_ID = '06-1054' AND DATA_FOLDER_ID = 'sampl'</v>
      </c>
      <c r="G138" t="str">
        <f t="shared" si="7"/>
        <v>-</v>
      </c>
      <c r="H138" t="str">
        <f t="shared" si="8"/>
        <v>-</v>
      </c>
    </row>
    <row r="139" spans="1:8" x14ac:dyDescent="0.25">
      <c r="A139" s="2" t="s">
        <v>1</v>
      </c>
      <c r="B139" s="9" t="s">
        <v>3539</v>
      </c>
      <c r="C139" t="s">
        <v>3894</v>
      </c>
      <c r="D139" s="11" t="s">
        <v>3539</v>
      </c>
      <c r="E139" s="11" t="s">
        <v>4115</v>
      </c>
      <c r="F139" t="str">
        <f t="shared" si="6"/>
        <v>UPDATE [MAP].[T_TRANS_COST_CODE] SET NEW_COST_CODE_ID = '06-1055', NEW_ITEM_ID = 'Contract Item' WHERE LEGACY_COST_CODE_ID = '06-1055' AND DATA_FOLDER_ID = 'sampl'</v>
      </c>
      <c r="G139" t="str">
        <f t="shared" si="7"/>
        <v>-</v>
      </c>
      <c r="H139" t="str">
        <f t="shared" si="8"/>
        <v>-</v>
      </c>
    </row>
    <row r="140" spans="1:8" x14ac:dyDescent="0.25">
      <c r="A140" s="2" t="s">
        <v>1</v>
      </c>
      <c r="B140" s="9" t="s">
        <v>3540</v>
      </c>
      <c r="C140" t="s">
        <v>3895</v>
      </c>
      <c r="D140" s="11" t="s">
        <v>3540</v>
      </c>
      <c r="E140" s="11" t="s">
        <v>4115</v>
      </c>
      <c r="F140" t="str">
        <f t="shared" si="6"/>
        <v>UPDATE [MAP].[T_TRANS_COST_CODE] SET NEW_COST_CODE_ID = '06-1056', NEW_ITEM_ID = 'Contract Item' WHERE LEGACY_COST_CODE_ID = '06-1056' AND DATA_FOLDER_ID = 'sampl'</v>
      </c>
      <c r="G140" t="str">
        <f t="shared" si="7"/>
        <v>-</v>
      </c>
      <c r="H140" t="str">
        <f t="shared" si="8"/>
        <v>-</v>
      </c>
    </row>
    <row r="141" spans="1:8" x14ac:dyDescent="0.25">
      <c r="A141" s="2" t="s">
        <v>1</v>
      </c>
      <c r="B141" s="9" t="s">
        <v>3541</v>
      </c>
      <c r="C141" t="s">
        <v>3896</v>
      </c>
      <c r="D141" s="11" t="s">
        <v>3541</v>
      </c>
      <c r="E141" s="11" t="s">
        <v>4115</v>
      </c>
      <c r="F141" t="str">
        <f t="shared" si="6"/>
        <v>UPDATE [MAP].[T_TRANS_COST_CODE] SET NEW_COST_CODE_ID = '06-1110', NEW_ITEM_ID = 'Contract Item' WHERE LEGACY_COST_CODE_ID = '06-1110' AND DATA_FOLDER_ID = 'sampl'</v>
      </c>
      <c r="G141" t="str">
        <f t="shared" si="7"/>
        <v>-</v>
      </c>
      <c r="H141" t="str">
        <f t="shared" si="8"/>
        <v>-</v>
      </c>
    </row>
    <row r="142" spans="1:8" x14ac:dyDescent="0.25">
      <c r="A142" s="2" t="s">
        <v>1</v>
      </c>
      <c r="B142" s="9" t="s">
        <v>3542</v>
      </c>
      <c r="C142" t="s">
        <v>3897</v>
      </c>
      <c r="D142" s="11" t="s">
        <v>3542</v>
      </c>
      <c r="E142" s="11" t="s">
        <v>4115</v>
      </c>
      <c r="F142" t="str">
        <f t="shared" si="6"/>
        <v>UPDATE [MAP].[T_TRANS_COST_CODE] SET NEW_COST_CODE_ID = '06-1120', NEW_ITEM_ID = 'Contract Item' WHERE LEGACY_COST_CODE_ID = '06-1120' AND DATA_FOLDER_ID = 'sampl'</v>
      </c>
      <c r="G142" t="str">
        <f t="shared" si="7"/>
        <v>-</v>
      </c>
      <c r="H142" t="str">
        <f t="shared" si="8"/>
        <v>-</v>
      </c>
    </row>
    <row r="143" spans="1:8" x14ac:dyDescent="0.25">
      <c r="A143" s="2" t="s">
        <v>1</v>
      </c>
      <c r="B143" s="9" t="s">
        <v>3543</v>
      </c>
      <c r="C143" t="s">
        <v>3898</v>
      </c>
      <c r="D143" s="11" t="s">
        <v>3543</v>
      </c>
      <c r="E143" s="11" t="s">
        <v>4115</v>
      </c>
      <c r="F143" t="str">
        <f t="shared" si="6"/>
        <v>UPDATE [MAP].[T_TRANS_COST_CODE] SET NEW_COST_CODE_ID = '06-1130', NEW_ITEM_ID = 'Contract Item' WHERE LEGACY_COST_CODE_ID = '06-1130' AND DATA_FOLDER_ID = 'sampl'</v>
      </c>
      <c r="G143" t="str">
        <f t="shared" si="7"/>
        <v>-</v>
      </c>
      <c r="H143" t="str">
        <f t="shared" si="8"/>
        <v>-</v>
      </c>
    </row>
    <row r="144" spans="1:8" x14ac:dyDescent="0.25">
      <c r="A144" s="2" t="s">
        <v>1</v>
      </c>
      <c r="B144" s="9" t="s">
        <v>3544</v>
      </c>
      <c r="C144" t="s">
        <v>3899</v>
      </c>
      <c r="D144" s="11" t="s">
        <v>3544</v>
      </c>
      <c r="E144" s="11" t="s">
        <v>4115</v>
      </c>
      <c r="F144" t="str">
        <f t="shared" si="6"/>
        <v>UPDATE [MAP].[T_TRANS_COST_CODE] SET NEW_COST_CODE_ID = '06-1140', NEW_ITEM_ID = 'Contract Item' WHERE LEGACY_COST_CODE_ID = '06-1140' AND DATA_FOLDER_ID = 'sampl'</v>
      </c>
      <c r="G144" t="str">
        <f t="shared" si="7"/>
        <v>-</v>
      </c>
      <c r="H144" t="str">
        <f t="shared" si="8"/>
        <v>-</v>
      </c>
    </row>
    <row r="145" spans="1:8" x14ac:dyDescent="0.25">
      <c r="A145" s="2" t="s">
        <v>1</v>
      </c>
      <c r="B145" s="9" t="s">
        <v>3545</v>
      </c>
      <c r="C145" t="s">
        <v>3900</v>
      </c>
      <c r="D145" s="11" t="s">
        <v>3545</v>
      </c>
      <c r="E145" s="11" t="s">
        <v>4115</v>
      </c>
      <c r="F145" t="str">
        <f t="shared" si="6"/>
        <v>UPDATE [MAP].[T_TRANS_COST_CODE] SET NEW_COST_CODE_ID = '06-1300', NEW_ITEM_ID = 'Contract Item' WHERE LEGACY_COST_CODE_ID = '06-1300' AND DATA_FOLDER_ID = 'sampl'</v>
      </c>
      <c r="G145" t="str">
        <f t="shared" si="7"/>
        <v>-</v>
      </c>
      <c r="H145" t="str">
        <f t="shared" si="8"/>
        <v>-</v>
      </c>
    </row>
    <row r="146" spans="1:8" x14ac:dyDescent="0.25">
      <c r="A146" s="2" t="s">
        <v>1</v>
      </c>
      <c r="B146" s="9" t="s">
        <v>3546</v>
      </c>
      <c r="C146" t="s">
        <v>3901</v>
      </c>
      <c r="D146" s="11" t="s">
        <v>3546</v>
      </c>
      <c r="E146" s="11" t="s">
        <v>4115</v>
      </c>
      <c r="F146" t="str">
        <f t="shared" si="6"/>
        <v>UPDATE [MAP].[T_TRANS_COST_CODE] SET NEW_COST_CODE_ID = '06-1713', NEW_ITEM_ID = 'Contract Item' WHERE LEGACY_COST_CODE_ID = '06-1713' AND DATA_FOLDER_ID = 'sampl'</v>
      </c>
      <c r="G146" t="str">
        <f t="shared" si="7"/>
        <v>-</v>
      </c>
      <c r="H146" t="str">
        <f t="shared" si="8"/>
        <v>-</v>
      </c>
    </row>
    <row r="147" spans="1:8" x14ac:dyDescent="0.25">
      <c r="A147" s="2" t="s">
        <v>1</v>
      </c>
      <c r="B147" s="9" t="s">
        <v>3547</v>
      </c>
      <c r="C147" t="s">
        <v>3902</v>
      </c>
      <c r="D147" s="11" t="s">
        <v>3547</v>
      </c>
      <c r="E147" s="11" t="s">
        <v>4115</v>
      </c>
      <c r="F147" t="str">
        <f t="shared" si="6"/>
        <v>UPDATE [MAP].[T_TRANS_COST_CODE] SET NEW_COST_CODE_ID = '06-1753', NEW_ITEM_ID = 'Contract Item' WHERE LEGACY_COST_CODE_ID = '06-1753' AND DATA_FOLDER_ID = 'sampl'</v>
      </c>
      <c r="G147" t="str">
        <f t="shared" si="7"/>
        <v>-</v>
      </c>
      <c r="H147" t="str">
        <f t="shared" si="8"/>
        <v>-</v>
      </c>
    </row>
    <row r="148" spans="1:8" x14ac:dyDescent="0.25">
      <c r="A148" s="2" t="s">
        <v>1</v>
      </c>
      <c r="B148" s="9" t="s">
        <v>3548</v>
      </c>
      <c r="C148" t="s">
        <v>3903</v>
      </c>
      <c r="D148" s="11" t="s">
        <v>3548</v>
      </c>
      <c r="E148" s="11" t="s">
        <v>4115</v>
      </c>
      <c r="F148" t="str">
        <f t="shared" si="6"/>
        <v>UPDATE [MAP].[T_TRANS_COST_CODE] SET NEW_COST_CODE_ID = '06-2000', NEW_ITEM_ID = 'Contract Item' WHERE LEGACY_COST_CODE_ID = '06-2000' AND DATA_FOLDER_ID = 'sampl'</v>
      </c>
      <c r="G148" t="str">
        <f t="shared" si="7"/>
        <v>-</v>
      </c>
      <c r="H148" t="str">
        <f t="shared" si="8"/>
        <v>-</v>
      </c>
    </row>
    <row r="149" spans="1:8" x14ac:dyDescent="0.25">
      <c r="A149" s="2" t="s">
        <v>1</v>
      </c>
      <c r="B149" s="9" t="s">
        <v>3549</v>
      </c>
      <c r="C149" t="s">
        <v>3904</v>
      </c>
      <c r="D149" s="11" t="s">
        <v>3549</v>
      </c>
      <c r="E149" s="11" t="s">
        <v>4115</v>
      </c>
      <c r="F149" t="str">
        <f t="shared" si="6"/>
        <v>UPDATE [MAP].[T_TRANS_COST_CODE] SET NEW_COST_CODE_ID = '06-2001', NEW_ITEM_ID = 'Contract Item' WHERE LEGACY_COST_CODE_ID = '06-2001' AND DATA_FOLDER_ID = 'sampl'</v>
      </c>
      <c r="G149" t="str">
        <f t="shared" si="7"/>
        <v>-</v>
      </c>
      <c r="H149" t="str">
        <f t="shared" si="8"/>
        <v>-</v>
      </c>
    </row>
    <row r="150" spans="1:8" x14ac:dyDescent="0.25">
      <c r="A150" s="2" t="s">
        <v>1</v>
      </c>
      <c r="B150" s="9" t="s">
        <v>3550</v>
      </c>
      <c r="C150" t="s">
        <v>3905</v>
      </c>
      <c r="D150" s="11" t="s">
        <v>3550</v>
      </c>
      <c r="E150" s="11" t="s">
        <v>4115</v>
      </c>
      <c r="F150" t="str">
        <f t="shared" si="6"/>
        <v>UPDATE [MAP].[T_TRANS_COST_CODE] SET NEW_COST_CODE_ID = '06-2002', NEW_ITEM_ID = 'Contract Item' WHERE LEGACY_COST_CODE_ID = '06-2002' AND DATA_FOLDER_ID = 'sampl'</v>
      </c>
      <c r="G150" t="str">
        <f t="shared" si="7"/>
        <v>-</v>
      </c>
      <c r="H150" t="str">
        <f t="shared" si="8"/>
        <v>-</v>
      </c>
    </row>
    <row r="151" spans="1:8" x14ac:dyDescent="0.25">
      <c r="A151" s="2" t="s">
        <v>1</v>
      </c>
      <c r="B151" s="9" t="s">
        <v>3551</v>
      </c>
      <c r="C151" t="s">
        <v>3906</v>
      </c>
      <c r="D151" s="11" t="s">
        <v>3551</v>
      </c>
      <c r="E151" s="11" t="s">
        <v>4115</v>
      </c>
      <c r="F151" t="str">
        <f t="shared" si="6"/>
        <v>UPDATE [MAP].[T_TRANS_COST_CODE] SET NEW_COST_CODE_ID = '06-2200', NEW_ITEM_ID = 'Contract Item' WHERE LEGACY_COST_CODE_ID = '06-2200' AND DATA_FOLDER_ID = 'sampl'</v>
      </c>
      <c r="G151" t="str">
        <f t="shared" si="7"/>
        <v>-</v>
      </c>
      <c r="H151" t="str">
        <f t="shared" si="8"/>
        <v>-</v>
      </c>
    </row>
    <row r="152" spans="1:8" x14ac:dyDescent="0.25">
      <c r="A152" s="2" t="s">
        <v>1</v>
      </c>
      <c r="B152" s="9" t="s">
        <v>3552</v>
      </c>
      <c r="C152" t="s">
        <v>3907</v>
      </c>
      <c r="D152" s="11" t="s">
        <v>3552</v>
      </c>
      <c r="E152" s="11" t="s">
        <v>4115</v>
      </c>
      <c r="F152" t="str">
        <f t="shared" si="6"/>
        <v>UPDATE [MAP].[T_TRANS_COST_CODE] SET NEW_COST_CODE_ID = '06-4100', NEW_ITEM_ID = 'Contract Item' WHERE LEGACY_COST_CODE_ID = '06-4100' AND DATA_FOLDER_ID = 'sampl'</v>
      </c>
      <c r="G152" t="str">
        <f t="shared" si="7"/>
        <v>-</v>
      </c>
      <c r="H152" t="str">
        <f t="shared" si="8"/>
        <v>-</v>
      </c>
    </row>
    <row r="153" spans="1:8" x14ac:dyDescent="0.25">
      <c r="A153" s="2" t="s">
        <v>1</v>
      </c>
      <c r="B153" s="9" t="s">
        <v>3553</v>
      </c>
      <c r="C153" t="s">
        <v>3908</v>
      </c>
      <c r="D153" s="11" t="s">
        <v>3553</v>
      </c>
      <c r="E153" s="11" t="s">
        <v>4115</v>
      </c>
      <c r="F153" t="str">
        <f t="shared" si="6"/>
        <v>UPDATE [MAP].[T_TRANS_COST_CODE] SET NEW_COST_CODE_ID = '06-4200', NEW_ITEM_ID = 'Contract Item' WHERE LEGACY_COST_CODE_ID = '06-4200' AND DATA_FOLDER_ID = 'sampl'</v>
      </c>
      <c r="G153" t="str">
        <f t="shared" si="7"/>
        <v>-</v>
      </c>
      <c r="H153" t="str">
        <f t="shared" si="8"/>
        <v>-</v>
      </c>
    </row>
    <row r="154" spans="1:8" x14ac:dyDescent="0.25">
      <c r="A154" s="2" t="s">
        <v>1</v>
      </c>
      <c r="B154" s="9" t="s">
        <v>3554</v>
      </c>
      <c r="C154" t="s">
        <v>3909</v>
      </c>
      <c r="D154" s="11" t="s">
        <v>3554</v>
      </c>
      <c r="E154" s="11" t="s">
        <v>4115</v>
      </c>
      <c r="F154" t="str">
        <f t="shared" si="6"/>
        <v>UPDATE [MAP].[T_TRANS_COST_CODE] SET NEW_COST_CODE_ID = '06-4300', NEW_ITEM_ID = 'Contract Item' WHERE LEGACY_COST_CODE_ID = '06-4300' AND DATA_FOLDER_ID = 'sampl'</v>
      </c>
      <c r="G154" t="str">
        <f t="shared" si="7"/>
        <v>-</v>
      </c>
      <c r="H154" t="str">
        <f t="shared" si="8"/>
        <v>-</v>
      </c>
    </row>
    <row r="155" spans="1:8" x14ac:dyDescent="0.25">
      <c r="A155" s="2" t="s">
        <v>1</v>
      </c>
      <c r="B155" s="9" t="s">
        <v>3555</v>
      </c>
      <c r="C155" t="s">
        <v>3910</v>
      </c>
      <c r="D155" s="11" t="s">
        <v>3555</v>
      </c>
      <c r="E155" s="11" t="s">
        <v>4115</v>
      </c>
      <c r="F155" t="str">
        <f t="shared" si="6"/>
        <v>UPDATE [MAP].[T_TRANS_COST_CODE] SET NEW_COST_CODE_ID = '06-4400', NEW_ITEM_ID = 'Contract Item' WHERE LEGACY_COST_CODE_ID = '06-4400' AND DATA_FOLDER_ID = 'sampl'</v>
      </c>
      <c r="G155" t="str">
        <f t="shared" si="7"/>
        <v>-</v>
      </c>
      <c r="H155" t="str">
        <f t="shared" si="8"/>
        <v>-</v>
      </c>
    </row>
    <row r="156" spans="1:8" x14ac:dyDescent="0.25">
      <c r="A156" s="2" t="s">
        <v>1</v>
      </c>
      <c r="B156" s="9" t="s">
        <v>3556</v>
      </c>
      <c r="C156" t="s">
        <v>3911</v>
      </c>
      <c r="D156" s="11" t="s">
        <v>3556</v>
      </c>
      <c r="E156" s="11" t="s">
        <v>4115</v>
      </c>
      <c r="F156" t="str">
        <f t="shared" si="6"/>
        <v>UPDATE [MAP].[T_TRANS_COST_CODE] SET NEW_COST_CODE_ID = '06-4600', NEW_ITEM_ID = 'Contract Item' WHERE LEGACY_COST_CODE_ID = '06-4600' AND DATA_FOLDER_ID = 'sampl'</v>
      </c>
      <c r="G156" t="str">
        <f t="shared" si="7"/>
        <v>-</v>
      </c>
      <c r="H156" t="str">
        <f t="shared" si="8"/>
        <v>-</v>
      </c>
    </row>
    <row r="157" spans="1:8" x14ac:dyDescent="0.25">
      <c r="A157" s="2" t="s">
        <v>1</v>
      </c>
      <c r="B157" s="9" t="s">
        <v>3557</v>
      </c>
      <c r="C157" t="s">
        <v>3912</v>
      </c>
      <c r="D157" s="11" t="s">
        <v>3557</v>
      </c>
      <c r="E157" s="11" t="s">
        <v>4115</v>
      </c>
      <c r="F157" t="str">
        <f t="shared" si="6"/>
        <v>UPDATE [MAP].[T_TRANS_COST_CODE] SET NEW_COST_CODE_ID = '06-4800', NEW_ITEM_ID = 'Contract Item' WHERE LEGACY_COST_CODE_ID = '06-4800' AND DATA_FOLDER_ID = 'sampl'</v>
      </c>
      <c r="G157" t="str">
        <f t="shared" si="7"/>
        <v>-</v>
      </c>
      <c r="H157" t="str">
        <f t="shared" si="8"/>
        <v>-</v>
      </c>
    </row>
    <row r="158" spans="1:8" x14ac:dyDescent="0.25">
      <c r="A158" s="2" t="s">
        <v>1</v>
      </c>
      <c r="B158" s="9" t="s">
        <v>3558</v>
      </c>
      <c r="C158" t="s">
        <v>3913</v>
      </c>
      <c r="D158" s="11" t="s">
        <v>3558</v>
      </c>
      <c r="E158" s="11" t="s">
        <v>4114</v>
      </c>
      <c r="F158" t="str">
        <f t="shared" si="6"/>
        <v>UPDATE [MAP].[T_TRANS_COST_CODE] SET NEW_COST_CODE_ID = '07-0000', NEW_ITEM_ID = ' ' WHERE LEGACY_COST_CODE_ID = '07-0000' AND DATA_FOLDER_ID = 'sampl'</v>
      </c>
      <c r="G158" t="str">
        <f t="shared" si="7"/>
        <v>-</v>
      </c>
      <c r="H158" t="str">
        <f t="shared" si="8"/>
        <v>-</v>
      </c>
    </row>
    <row r="159" spans="1:8" x14ac:dyDescent="0.25">
      <c r="A159" s="2" t="s">
        <v>1</v>
      </c>
      <c r="B159" s="9" t="s">
        <v>3559</v>
      </c>
      <c r="C159" t="s">
        <v>3914</v>
      </c>
      <c r="D159" s="11" t="s">
        <v>3559</v>
      </c>
      <c r="E159" s="11" t="s">
        <v>4115</v>
      </c>
      <c r="F159" t="str">
        <f t="shared" si="6"/>
        <v>UPDATE [MAP].[T_TRANS_COST_CODE] SET NEW_COST_CODE_ID = '07-1000', NEW_ITEM_ID = 'Contract Item' WHERE LEGACY_COST_CODE_ID = '07-1000' AND DATA_FOLDER_ID = 'sampl'</v>
      </c>
      <c r="G159" t="str">
        <f t="shared" si="7"/>
        <v>-</v>
      </c>
      <c r="H159" t="str">
        <f t="shared" si="8"/>
        <v>-</v>
      </c>
    </row>
    <row r="160" spans="1:8" x14ac:dyDescent="0.25">
      <c r="A160" s="2" t="s">
        <v>1</v>
      </c>
      <c r="B160" s="9" t="s">
        <v>3560</v>
      </c>
      <c r="C160" t="s">
        <v>3915</v>
      </c>
      <c r="D160" s="11" t="s">
        <v>3560</v>
      </c>
      <c r="E160" s="11" t="s">
        <v>4115</v>
      </c>
      <c r="F160" t="str">
        <f t="shared" si="6"/>
        <v>UPDATE [MAP].[T_TRANS_COST_CODE] SET NEW_COST_CODE_ID = '07-2100', NEW_ITEM_ID = 'Contract Item' WHERE LEGACY_COST_CODE_ID = '07-2100' AND DATA_FOLDER_ID = 'sampl'</v>
      </c>
      <c r="G160" t="str">
        <f t="shared" si="7"/>
        <v>-</v>
      </c>
      <c r="H160" t="str">
        <f t="shared" si="8"/>
        <v>-</v>
      </c>
    </row>
    <row r="161" spans="1:8" x14ac:dyDescent="0.25">
      <c r="A161" s="2" t="s">
        <v>1</v>
      </c>
      <c r="B161" s="9" t="s">
        <v>3561</v>
      </c>
      <c r="C161" t="s">
        <v>3916</v>
      </c>
      <c r="D161" s="11" t="s">
        <v>3561</v>
      </c>
      <c r="E161" s="11" t="s">
        <v>4115</v>
      </c>
      <c r="F161" t="str">
        <f t="shared" si="6"/>
        <v>UPDATE [MAP].[T_TRANS_COST_CODE] SET NEW_COST_CODE_ID = '07-2400', NEW_ITEM_ID = 'Contract Item' WHERE LEGACY_COST_CODE_ID = '07-2400' AND DATA_FOLDER_ID = 'sampl'</v>
      </c>
      <c r="G161" t="str">
        <f t="shared" si="7"/>
        <v>-</v>
      </c>
      <c r="H161" t="str">
        <f t="shared" si="8"/>
        <v>-</v>
      </c>
    </row>
    <row r="162" spans="1:8" x14ac:dyDescent="0.25">
      <c r="A162" s="2" t="s">
        <v>1</v>
      </c>
      <c r="B162" s="9" t="s">
        <v>3562</v>
      </c>
      <c r="C162" t="s">
        <v>3917</v>
      </c>
      <c r="D162" s="11" t="s">
        <v>3562</v>
      </c>
      <c r="E162" s="11" t="s">
        <v>4115</v>
      </c>
      <c r="F162" t="str">
        <f t="shared" si="6"/>
        <v>UPDATE [MAP].[T_TRANS_COST_CODE] SET NEW_COST_CODE_ID = '07-2700', NEW_ITEM_ID = 'Contract Item' WHERE LEGACY_COST_CODE_ID = '07-2700' AND DATA_FOLDER_ID = 'sampl'</v>
      </c>
      <c r="G162" t="str">
        <f t="shared" si="7"/>
        <v>-</v>
      </c>
      <c r="H162" t="str">
        <f t="shared" si="8"/>
        <v>-</v>
      </c>
    </row>
    <row r="163" spans="1:8" x14ac:dyDescent="0.25">
      <c r="A163" s="2" t="s">
        <v>1</v>
      </c>
      <c r="B163" s="9" t="s">
        <v>3563</v>
      </c>
      <c r="C163" t="s">
        <v>3918</v>
      </c>
      <c r="D163" s="11" t="s">
        <v>3563</v>
      </c>
      <c r="E163" s="11" t="s">
        <v>4115</v>
      </c>
      <c r="F163" t="str">
        <f t="shared" si="6"/>
        <v>UPDATE [MAP].[T_TRANS_COST_CODE] SET NEW_COST_CODE_ID = '07-3100', NEW_ITEM_ID = 'Contract Item' WHERE LEGACY_COST_CODE_ID = '07-3100' AND DATA_FOLDER_ID = 'sampl'</v>
      </c>
      <c r="G163" t="str">
        <f t="shared" si="7"/>
        <v>-</v>
      </c>
      <c r="H163" t="str">
        <f t="shared" si="8"/>
        <v>-</v>
      </c>
    </row>
    <row r="164" spans="1:8" x14ac:dyDescent="0.25">
      <c r="A164" s="2" t="s">
        <v>1</v>
      </c>
      <c r="B164" s="9" t="s">
        <v>3564</v>
      </c>
      <c r="C164" t="s">
        <v>3919</v>
      </c>
      <c r="D164" s="11" t="s">
        <v>3564</v>
      </c>
      <c r="E164" s="11" t="s">
        <v>4115</v>
      </c>
      <c r="F164" t="str">
        <f t="shared" si="6"/>
        <v>UPDATE [MAP].[T_TRANS_COST_CODE] SET NEW_COST_CODE_ID = '07-4100', NEW_ITEM_ID = 'Contract Item' WHERE LEGACY_COST_CODE_ID = '07-4100' AND DATA_FOLDER_ID = 'sampl'</v>
      </c>
      <c r="G164" t="str">
        <f t="shared" si="7"/>
        <v>-</v>
      </c>
      <c r="H164" t="str">
        <f t="shared" si="8"/>
        <v>-</v>
      </c>
    </row>
    <row r="165" spans="1:8" x14ac:dyDescent="0.25">
      <c r="A165" s="2" t="s">
        <v>1</v>
      </c>
      <c r="B165" s="9" t="s">
        <v>3565</v>
      </c>
      <c r="C165" t="s">
        <v>3920</v>
      </c>
      <c r="D165" s="11" t="s">
        <v>3565</v>
      </c>
      <c r="E165" s="11" t="s">
        <v>4115</v>
      </c>
      <c r="F165" t="str">
        <f t="shared" si="6"/>
        <v>UPDATE [MAP].[T_TRANS_COST_CODE] SET NEW_COST_CODE_ID = '07-4200', NEW_ITEM_ID = 'Contract Item' WHERE LEGACY_COST_CODE_ID = '07-4200' AND DATA_FOLDER_ID = 'sampl'</v>
      </c>
      <c r="G165" t="str">
        <f t="shared" si="7"/>
        <v>-</v>
      </c>
      <c r="H165" t="str">
        <f t="shared" si="8"/>
        <v>-</v>
      </c>
    </row>
    <row r="166" spans="1:8" x14ac:dyDescent="0.25">
      <c r="A166" s="2" t="s">
        <v>1</v>
      </c>
      <c r="B166" s="9" t="s">
        <v>3566</v>
      </c>
      <c r="C166" t="s">
        <v>3921</v>
      </c>
      <c r="D166" s="11" t="s">
        <v>3566</v>
      </c>
      <c r="E166" s="11" t="s">
        <v>4115</v>
      </c>
      <c r="F166" t="str">
        <f t="shared" si="6"/>
        <v>UPDATE [MAP].[T_TRANS_COST_CODE] SET NEW_COST_CODE_ID = '07-4213', NEW_ITEM_ID = 'Contract Item' WHERE LEGACY_COST_CODE_ID = '07-4213' AND DATA_FOLDER_ID = 'sampl'</v>
      </c>
      <c r="G166" t="str">
        <f t="shared" si="7"/>
        <v>-</v>
      </c>
      <c r="H166" t="str">
        <f t="shared" si="8"/>
        <v>-</v>
      </c>
    </row>
    <row r="167" spans="1:8" x14ac:dyDescent="0.25">
      <c r="A167" s="2" t="s">
        <v>1</v>
      </c>
      <c r="B167" s="9" t="s">
        <v>3567</v>
      </c>
      <c r="C167" t="s">
        <v>3922</v>
      </c>
      <c r="D167" s="11" t="s">
        <v>3567</v>
      </c>
      <c r="E167" s="11" t="s">
        <v>4115</v>
      </c>
      <c r="F167" t="str">
        <f t="shared" si="6"/>
        <v>UPDATE [MAP].[T_TRANS_COST_CODE] SET NEW_COST_CODE_ID = '07-4263', NEW_ITEM_ID = 'Contract Item' WHERE LEGACY_COST_CODE_ID = '07-4263' AND DATA_FOLDER_ID = 'sampl'</v>
      </c>
      <c r="G167" t="str">
        <f t="shared" si="7"/>
        <v>-</v>
      </c>
      <c r="H167" t="str">
        <f t="shared" si="8"/>
        <v>-</v>
      </c>
    </row>
    <row r="168" spans="1:8" x14ac:dyDescent="0.25">
      <c r="A168" s="2" t="s">
        <v>1</v>
      </c>
      <c r="B168" s="9" t="s">
        <v>3568</v>
      </c>
      <c r="C168" t="s">
        <v>3923</v>
      </c>
      <c r="D168" s="11" t="s">
        <v>3568</v>
      </c>
      <c r="E168" s="11" t="s">
        <v>4115</v>
      </c>
      <c r="F168" t="str">
        <f t="shared" si="6"/>
        <v>UPDATE [MAP].[T_TRANS_COST_CODE] SET NEW_COST_CODE_ID = '07-4600', NEW_ITEM_ID = 'Contract Item' WHERE LEGACY_COST_CODE_ID = '07-4600' AND DATA_FOLDER_ID = 'sampl'</v>
      </c>
      <c r="G168" t="str">
        <f t="shared" si="7"/>
        <v>-</v>
      </c>
      <c r="H168" t="str">
        <f t="shared" si="8"/>
        <v>-</v>
      </c>
    </row>
    <row r="169" spans="1:8" x14ac:dyDescent="0.25">
      <c r="A169" s="2" t="s">
        <v>1</v>
      </c>
      <c r="B169" s="9" t="s">
        <v>3569</v>
      </c>
      <c r="C169" t="s">
        <v>3924</v>
      </c>
      <c r="D169" s="11" t="s">
        <v>3569</v>
      </c>
      <c r="E169" s="11" t="s">
        <v>4115</v>
      </c>
      <c r="F169" t="str">
        <f t="shared" si="6"/>
        <v>UPDATE [MAP].[T_TRANS_COST_CODE] SET NEW_COST_CODE_ID = '07-5000', NEW_ITEM_ID = 'Contract Item' WHERE LEGACY_COST_CODE_ID = '07-5000' AND DATA_FOLDER_ID = 'sampl'</v>
      </c>
      <c r="G169" t="str">
        <f t="shared" si="7"/>
        <v>-</v>
      </c>
      <c r="H169" t="str">
        <f t="shared" si="8"/>
        <v>-</v>
      </c>
    </row>
    <row r="170" spans="1:8" x14ac:dyDescent="0.25">
      <c r="A170" s="2" t="s">
        <v>1</v>
      </c>
      <c r="B170" s="9" t="s">
        <v>3570</v>
      </c>
      <c r="C170" t="s">
        <v>3925</v>
      </c>
      <c r="D170" s="11" t="s">
        <v>3570</v>
      </c>
      <c r="E170" s="11" t="s">
        <v>4115</v>
      </c>
      <c r="F170" t="str">
        <f t="shared" si="6"/>
        <v>UPDATE [MAP].[T_TRANS_COST_CODE] SET NEW_COST_CODE_ID = '07-6000', NEW_ITEM_ID = 'Contract Item' WHERE LEGACY_COST_CODE_ID = '07-6000' AND DATA_FOLDER_ID = 'sampl'</v>
      </c>
      <c r="G170" t="str">
        <f t="shared" si="7"/>
        <v>-</v>
      </c>
      <c r="H170" t="str">
        <f t="shared" si="8"/>
        <v>-</v>
      </c>
    </row>
    <row r="171" spans="1:8" x14ac:dyDescent="0.25">
      <c r="A171" s="2" t="s">
        <v>1</v>
      </c>
      <c r="B171" s="9" t="s">
        <v>3571</v>
      </c>
      <c r="C171" t="s">
        <v>3926</v>
      </c>
      <c r="D171" s="11" t="s">
        <v>3571</v>
      </c>
      <c r="E171" s="11" t="s">
        <v>4115</v>
      </c>
      <c r="F171" t="str">
        <f t="shared" si="6"/>
        <v>UPDATE [MAP].[T_TRANS_COST_CODE] SET NEW_COST_CODE_ID = '07-6050', NEW_ITEM_ID = 'Contract Item' WHERE LEGACY_COST_CODE_ID = '07-6050' AND DATA_FOLDER_ID = 'sampl'</v>
      </c>
      <c r="G171" t="str">
        <f t="shared" si="7"/>
        <v>-</v>
      </c>
      <c r="H171" t="str">
        <f t="shared" si="8"/>
        <v>-</v>
      </c>
    </row>
    <row r="172" spans="1:8" x14ac:dyDescent="0.25">
      <c r="A172" s="2" t="s">
        <v>1</v>
      </c>
      <c r="B172" s="9" t="s">
        <v>3572</v>
      </c>
      <c r="C172" t="s">
        <v>3927</v>
      </c>
      <c r="D172" s="11" t="s">
        <v>3572</v>
      </c>
      <c r="E172" s="11" t="s">
        <v>4115</v>
      </c>
      <c r="F172" t="str">
        <f t="shared" si="6"/>
        <v>UPDATE [MAP].[T_TRANS_COST_CODE] SET NEW_COST_CODE_ID = '07-7100', NEW_ITEM_ID = 'Contract Item' WHERE LEGACY_COST_CODE_ID = '07-7100' AND DATA_FOLDER_ID = 'sampl'</v>
      </c>
      <c r="G172" t="str">
        <f t="shared" si="7"/>
        <v>-</v>
      </c>
      <c r="H172" t="str">
        <f t="shared" si="8"/>
        <v>-</v>
      </c>
    </row>
    <row r="173" spans="1:8" x14ac:dyDescent="0.25">
      <c r="A173" s="2" t="s">
        <v>1</v>
      </c>
      <c r="B173" s="9" t="s">
        <v>3573</v>
      </c>
      <c r="C173" t="s">
        <v>3928</v>
      </c>
      <c r="D173" s="11" t="s">
        <v>3573</v>
      </c>
      <c r="E173" s="11" t="s">
        <v>4115</v>
      </c>
      <c r="F173" t="str">
        <f t="shared" si="6"/>
        <v>UPDATE [MAP].[T_TRANS_COST_CODE] SET NEW_COST_CODE_ID = '07-8100', NEW_ITEM_ID = 'Contract Item' WHERE LEGACY_COST_CODE_ID = '07-8100' AND DATA_FOLDER_ID = 'sampl'</v>
      </c>
      <c r="G173" t="str">
        <f t="shared" si="7"/>
        <v>-</v>
      </c>
      <c r="H173" t="str">
        <f t="shared" si="8"/>
        <v>-</v>
      </c>
    </row>
    <row r="174" spans="1:8" x14ac:dyDescent="0.25">
      <c r="A174" s="2" t="s">
        <v>1</v>
      </c>
      <c r="B174" s="9" t="s">
        <v>3574</v>
      </c>
      <c r="C174" t="s">
        <v>3929</v>
      </c>
      <c r="D174" s="11" t="s">
        <v>3574</v>
      </c>
      <c r="E174" s="11" t="s">
        <v>4115</v>
      </c>
      <c r="F174" t="str">
        <f t="shared" si="6"/>
        <v>UPDATE [MAP].[T_TRANS_COST_CODE] SET NEW_COST_CODE_ID = '07-8400', NEW_ITEM_ID = 'Contract Item' WHERE LEGACY_COST_CODE_ID = '07-8400' AND DATA_FOLDER_ID = 'sampl'</v>
      </c>
      <c r="G174" t="str">
        <f t="shared" si="7"/>
        <v>-</v>
      </c>
      <c r="H174" t="str">
        <f t="shared" si="8"/>
        <v>-</v>
      </c>
    </row>
    <row r="175" spans="1:8" x14ac:dyDescent="0.25">
      <c r="A175" s="2" t="s">
        <v>1</v>
      </c>
      <c r="B175" s="9" t="s">
        <v>3575</v>
      </c>
      <c r="C175" t="s">
        <v>3930</v>
      </c>
      <c r="D175" s="11" t="s">
        <v>3575</v>
      </c>
      <c r="E175" s="11" t="s">
        <v>4115</v>
      </c>
      <c r="F175" t="str">
        <f t="shared" si="6"/>
        <v>UPDATE [MAP].[T_TRANS_COST_CODE] SET NEW_COST_CODE_ID = '07-9200', NEW_ITEM_ID = 'Contract Item' WHERE LEGACY_COST_CODE_ID = '07-9200' AND DATA_FOLDER_ID = 'sampl'</v>
      </c>
      <c r="G175" t="str">
        <f t="shared" si="7"/>
        <v>-</v>
      </c>
      <c r="H175" t="str">
        <f t="shared" si="8"/>
        <v>-</v>
      </c>
    </row>
    <row r="176" spans="1:8" x14ac:dyDescent="0.25">
      <c r="A176" s="2" t="s">
        <v>1</v>
      </c>
      <c r="B176" s="9" t="s">
        <v>3576</v>
      </c>
      <c r="C176" t="s">
        <v>3931</v>
      </c>
      <c r="D176" s="11" t="s">
        <v>3576</v>
      </c>
      <c r="E176" s="11" t="s">
        <v>4115</v>
      </c>
      <c r="F176" t="str">
        <f t="shared" si="6"/>
        <v>UPDATE [MAP].[T_TRANS_COST_CODE] SET NEW_COST_CODE_ID = '07-9500', NEW_ITEM_ID = 'Contract Item' WHERE LEGACY_COST_CODE_ID = '07-9500' AND DATA_FOLDER_ID = 'sampl'</v>
      </c>
      <c r="G176" t="str">
        <f t="shared" si="7"/>
        <v>-</v>
      </c>
      <c r="H176" t="str">
        <f t="shared" si="8"/>
        <v>-</v>
      </c>
    </row>
    <row r="177" spans="1:8" x14ac:dyDescent="0.25">
      <c r="A177" s="2" t="s">
        <v>1</v>
      </c>
      <c r="B177" s="9" t="s">
        <v>3577</v>
      </c>
      <c r="C177" t="s">
        <v>3932</v>
      </c>
      <c r="D177" s="11" t="s">
        <v>3577</v>
      </c>
      <c r="E177" s="11" t="s">
        <v>4114</v>
      </c>
      <c r="F177" t="str">
        <f t="shared" si="6"/>
        <v>UPDATE [MAP].[T_TRANS_COST_CODE] SET NEW_COST_CODE_ID = '08-0000', NEW_ITEM_ID = ' ' WHERE LEGACY_COST_CODE_ID = '08-0000' AND DATA_FOLDER_ID = 'sampl'</v>
      </c>
      <c r="G177" t="str">
        <f t="shared" si="7"/>
        <v>-</v>
      </c>
      <c r="H177" t="str">
        <f t="shared" si="8"/>
        <v>-</v>
      </c>
    </row>
    <row r="178" spans="1:8" x14ac:dyDescent="0.25">
      <c r="A178" s="2" t="s">
        <v>1</v>
      </c>
      <c r="B178" s="9" t="s">
        <v>3578</v>
      </c>
      <c r="C178" t="s">
        <v>3933</v>
      </c>
      <c r="D178" s="11" t="s">
        <v>3578</v>
      </c>
      <c r="E178" s="11" t="s">
        <v>4115</v>
      </c>
      <c r="F178" t="str">
        <f t="shared" si="6"/>
        <v>UPDATE [MAP].[T_TRANS_COST_CODE] SET NEW_COST_CODE_ID = '08-1100', NEW_ITEM_ID = 'Contract Item' WHERE LEGACY_COST_CODE_ID = '08-1100' AND DATA_FOLDER_ID = 'sampl'</v>
      </c>
      <c r="G178" t="str">
        <f t="shared" si="7"/>
        <v>-</v>
      </c>
      <c r="H178" t="str">
        <f t="shared" si="8"/>
        <v>-</v>
      </c>
    </row>
    <row r="179" spans="1:8" x14ac:dyDescent="0.25">
      <c r="A179" s="2" t="s">
        <v>1</v>
      </c>
      <c r="B179" s="9" t="s">
        <v>3579</v>
      </c>
      <c r="C179" t="s">
        <v>3934</v>
      </c>
      <c r="D179" s="11" t="s">
        <v>3579</v>
      </c>
      <c r="E179" s="11" t="s">
        <v>4115</v>
      </c>
      <c r="F179" t="str">
        <f t="shared" si="6"/>
        <v>UPDATE [MAP].[T_TRANS_COST_CODE] SET NEW_COST_CODE_ID = '08-1101', NEW_ITEM_ID = 'Contract Item' WHERE LEGACY_COST_CODE_ID = '08-1101' AND DATA_FOLDER_ID = 'sampl'</v>
      </c>
      <c r="G179" t="str">
        <f t="shared" si="7"/>
        <v>-</v>
      </c>
      <c r="H179" t="str">
        <f t="shared" si="8"/>
        <v>-</v>
      </c>
    </row>
    <row r="180" spans="1:8" x14ac:dyDescent="0.25">
      <c r="A180" s="2" t="s">
        <v>1</v>
      </c>
      <c r="B180" s="9" t="s">
        <v>3580</v>
      </c>
      <c r="C180" t="s">
        <v>3935</v>
      </c>
      <c r="D180" s="11" t="s">
        <v>3580</v>
      </c>
      <c r="E180" s="11" t="s">
        <v>4115</v>
      </c>
      <c r="F180" t="str">
        <f t="shared" si="6"/>
        <v>UPDATE [MAP].[T_TRANS_COST_CODE] SET NEW_COST_CODE_ID = '08-1102', NEW_ITEM_ID = 'Contract Item' WHERE LEGACY_COST_CODE_ID = '08-1102' AND DATA_FOLDER_ID = 'sampl'</v>
      </c>
      <c r="G180" t="str">
        <f t="shared" si="7"/>
        <v>-</v>
      </c>
      <c r="H180" t="str">
        <f t="shared" si="8"/>
        <v>-</v>
      </c>
    </row>
    <row r="181" spans="1:8" x14ac:dyDescent="0.25">
      <c r="A181" s="2" t="s">
        <v>1</v>
      </c>
      <c r="B181" s="9" t="s">
        <v>3581</v>
      </c>
      <c r="C181" t="s">
        <v>3936</v>
      </c>
      <c r="D181" s="11" t="s">
        <v>3581</v>
      </c>
      <c r="E181" s="11" t="s">
        <v>4115</v>
      </c>
      <c r="F181" t="str">
        <f t="shared" si="6"/>
        <v>UPDATE [MAP].[T_TRANS_COST_CODE] SET NEW_COST_CODE_ID = '08-1103', NEW_ITEM_ID = 'Contract Item' WHERE LEGACY_COST_CODE_ID = '08-1103' AND DATA_FOLDER_ID = 'sampl'</v>
      </c>
      <c r="G181" t="str">
        <f t="shared" si="7"/>
        <v>-</v>
      </c>
      <c r="H181" t="str">
        <f t="shared" si="8"/>
        <v>-</v>
      </c>
    </row>
    <row r="182" spans="1:8" x14ac:dyDescent="0.25">
      <c r="A182" s="2" t="s">
        <v>1</v>
      </c>
      <c r="B182" s="9" t="s">
        <v>3582</v>
      </c>
      <c r="C182" t="s">
        <v>3937</v>
      </c>
      <c r="D182" s="11" t="s">
        <v>3582</v>
      </c>
      <c r="E182" s="11" t="s">
        <v>4115</v>
      </c>
      <c r="F182" t="str">
        <f t="shared" si="6"/>
        <v>UPDATE [MAP].[T_TRANS_COST_CODE] SET NEW_COST_CODE_ID = '08-3100', NEW_ITEM_ID = 'Contract Item' WHERE LEGACY_COST_CODE_ID = '08-3100' AND DATA_FOLDER_ID = 'sampl'</v>
      </c>
      <c r="G182" t="str">
        <f t="shared" si="7"/>
        <v>-</v>
      </c>
      <c r="H182" t="str">
        <f t="shared" si="8"/>
        <v>-</v>
      </c>
    </row>
    <row r="183" spans="1:8" x14ac:dyDescent="0.25">
      <c r="A183" s="2" t="s">
        <v>1</v>
      </c>
      <c r="B183" s="9" t="s">
        <v>3583</v>
      </c>
      <c r="C183" t="s">
        <v>3938</v>
      </c>
      <c r="D183" s="11" t="s">
        <v>3583</v>
      </c>
      <c r="E183" s="11" t="s">
        <v>4115</v>
      </c>
      <c r="F183" t="str">
        <f t="shared" si="6"/>
        <v>UPDATE [MAP].[T_TRANS_COST_CODE] SET NEW_COST_CODE_ID = '08-3600', NEW_ITEM_ID = 'Contract Item' WHERE LEGACY_COST_CODE_ID = '08-3600' AND DATA_FOLDER_ID = 'sampl'</v>
      </c>
      <c r="G183" t="str">
        <f t="shared" si="7"/>
        <v>-</v>
      </c>
      <c r="H183" t="str">
        <f t="shared" si="8"/>
        <v>-</v>
      </c>
    </row>
    <row r="184" spans="1:8" x14ac:dyDescent="0.25">
      <c r="A184" s="2" t="s">
        <v>1</v>
      </c>
      <c r="B184" s="9" t="s">
        <v>3584</v>
      </c>
      <c r="C184" t="s">
        <v>3939</v>
      </c>
      <c r="D184" s="11" t="s">
        <v>3584</v>
      </c>
      <c r="E184" s="11" t="s">
        <v>4115</v>
      </c>
      <c r="F184" t="str">
        <f t="shared" si="6"/>
        <v>UPDATE [MAP].[T_TRANS_COST_CODE] SET NEW_COST_CODE_ID = '08-4100', NEW_ITEM_ID = 'Contract Item' WHERE LEGACY_COST_CODE_ID = '08-4100' AND DATA_FOLDER_ID = 'sampl'</v>
      </c>
      <c r="G184" t="str">
        <f t="shared" si="7"/>
        <v>-</v>
      </c>
      <c r="H184" t="str">
        <f t="shared" si="8"/>
        <v>-</v>
      </c>
    </row>
    <row r="185" spans="1:8" x14ac:dyDescent="0.25">
      <c r="A185" s="2" t="s">
        <v>1</v>
      </c>
      <c r="B185" s="9" t="s">
        <v>3585</v>
      </c>
      <c r="C185" t="s">
        <v>3940</v>
      </c>
      <c r="D185" s="11" t="s">
        <v>3585</v>
      </c>
      <c r="E185" s="11" t="s">
        <v>4115</v>
      </c>
      <c r="F185" t="str">
        <f t="shared" si="6"/>
        <v>UPDATE [MAP].[T_TRANS_COST_CODE] SET NEW_COST_CODE_ID = '08-4229', NEW_ITEM_ID = 'Contract Item' WHERE LEGACY_COST_CODE_ID = '08-4229' AND DATA_FOLDER_ID = 'sampl'</v>
      </c>
      <c r="G185" t="str">
        <f t="shared" si="7"/>
        <v>-</v>
      </c>
      <c r="H185" t="str">
        <f t="shared" si="8"/>
        <v>-</v>
      </c>
    </row>
    <row r="186" spans="1:8" x14ac:dyDescent="0.25">
      <c r="A186" s="2" t="s">
        <v>1</v>
      </c>
      <c r="B186" s="9" t="s">
        <v>3586</v>
      </c>
      <c r="C186" t="s">
        <v>3941</v>
      </c>
      <c r="D186" s="11" t="s">
        <v>3586</v>
      </c>
      <c r="E186" s="11" t="s">
        <v>4115</v>
      </c>
      <c r="F186" t="str">
        <f t="shared" si="6"/>
        <v>UPDATE [MAP].[T_TRANS_COST_CODE] SET NEW_COST_CODE_ID = '08-4400', NEW_ITEM_ID = 'Contract Item' WHERE LEGACY_COST_CODE_ID = '08-4400' AND DATA_FOLDER_ID = 'sampl'</v>
      </c>
      <c r="G186" t="str">
        <f t="shared" si="7"/>
        <v>-</v>
      </c>
      <c r="H186" t="str">
        <f t="shared" si="8"/>
        <v>-</v>
      </c>
    </row>
    <row r="187" spans="1:8" x14ac:dyDescent="0.25">
      <c r="A187" s="2" t="s">
        <v>1</v>
      </c>
      <c r="B187" s="9" t="s">
        <v>3587</v>
      </c>
      <c r="C187" t="s">
        <v>3942</v>
      </c>
      <c r="D187" s="11" t="s">
        <v>3587</v>
      </c>
      <c r="E187" s="11" t="s">
        <v>4115</v>
      </c>
      <c r="F187" t="str">
        <f t="shared" si="6"/>
        <v>UPDATE [MAP].[T_TRANS_COST_CODE] SET NEW_COST_CODE_ID = '08-5100', NEW_ITEM_ID = 'Contract Item' WHERE LEGACY_COST_CODE_ID = '08-5100' AND DATA_FOLDER_ID = 'sampl'</v>
      </c>
      <c r="G187" t="str">
        <f t="shared" si="7"/>
        <v>-</v>
      </c>
      <c r="H187" t="str">
        <f t="shared" si="8"/>
        <v>-</v>
      </c>
    </row>
    <row r="188" spans="1:8" x14ac:dyDescent="0.25">
      <c r="A188" s="2" t="s">
        <v>1</v>
      </c>
      <c r="B188" s="9" t="s">
        <v>3588</v>
      </c>
      <c r="C188" t="s">
        <v>3943</v>
      </c>
      <c r="D188" s="11" t="s">
        <v>3588</v>
      </c>
      <c r="E188" s="11" t="s">
        <v>4115</v>
      </c>
      <c r="F188" t="str">
        <f t="shared" si="6"/>
        <v>UPDATE [MAP].[T_TRANS_COST_CODE] SET NEW_COST_CODE_ID = '08-5200', NEW_ITEM_ID = 'Contract Item' WHERE LEGACY_COST_CODE_ID = '08-5200' AND DATA_FOLDER_ID = 'sampl'</v>
      </c>
      <c r="G188" t="str">
        <f t="shared" si="7"/>
        <v>-</v>
      </c>
      <c r="H188" t="str">
        <f t="shared" si="8"/>
        <v>-</v>
      </c>
    </row>
    <row r="189" spans="1:8" x14ac:dyDescent="0.25">
      <c r="A189" s="2" t="s">
        <v>1</v>
      </c>
      <c r="B189" s="9" t="s">
        <v>3589</v>
      </c>
      <c r="C189" t="s">
        <v>3944</v>
      </c>
      <c r="D189" s="11" t="s">
        <v>3589</v>
      </c>
      <c r="E189" s="11" t="s">
        <v>4115</v>
      </c>
      <c r="F189" t="str">
        <f t="shared" si="6"/>
        <v>UPDATE [MAP].[T_TRANS_COST_CODE] SET NEW_COST_CODE_ID = '08-5313', NEW_ITEM_ID = 'Contract Item' WHERE LEGACY_COST_CODE_ID = '08-5313' AND DATA_FOLDER_ID = 'sampl'</v>
      </c>
      <c r="G189" t="str">
        <f t="shared" si="7"/>
        <v>-</v>
      </c>
      <c r="H189" t="str">
        <f t="shared" si="8"/>
        <v>-</v>
      </c>
    </row>
    <row r="190" spans="1:8" x14ac:dyDescent="0.25">
      <c r="A190" s="2" t="s">
        <v>1</v>
      </c>
      <c r="B190" s="9" t="s">
        <v>3590</v>
      </c>
      <c r="C190" t="s">
        <v>3945</v>
      </c>
      <c r="D190" s="11" t="s">
        <v>3590</v>
      </c>
      <c r="E190" s="11" t="s">
        <v>4115</v>
      </c>
      <c r="F190" t="str">
        <f t="shared" si="6"/>
        <v>UPDATE [MAP].[T_TRANS_COST_CODE] SET NEW_COST_CODE_ID = '08-6000', NEW_ITEM_ID = 'Contract Item' WHERE LEGACY_COST_CODE_ID = '08-6000' AND DATA_FOLDER_ID = 'sampl'</v>
      </c>
      <c r="G190" t="str">
        <f t="shared" si="7"/>
        <v>-</v>
      </c>
      <c r="H190" t="str">
        <f t="shared" si="8"/>
        <v>-</v>
      </c>
    </row>
    <row r="191" spans="1:8" x14ac:dyDescent="0.25">
      <c r="A191" s="2" t="s">
        <v>1</v>
      </c>
      <c r="B191" s="9" t="s">
        <v>3591</v>
      </c>
      <c r="C191" t="s">
        <v>3946</v>
      </c>
      <c r="D191" s="11" t="s">
        <v>3591</v>
      </c>
      <c r="E191" s="11" t="s">
        <v>4115</v>
      </c>
      <c r="F191" t="str">
        <f t="shared" si="6"/>
        <v>UPDATE [MAP].[T_TRANS_COST_CODE] SET NEW_COST_CODE_ID = '08-8000', NEW_ITEM_ID = 'Contract Item' WHERE LEGACY_COST_CODE_ID = '08-8000' AND DATA_FOLDER_ID = 'sampl'</v>
      </c>
      <c r="G191" t="str">
        <f t="shared" si="7"/>
        <v>-</v>
      </c>
      <c r="H191" t="str">
        <f t="shared" si="8"/>
        <v>-</v>
      </c>
    </row>
    <row r="192" spans="1:8" x14ac:dyDescent="0.25">
      <c r="A192" s="2" t="s">
        <v>1</v>
      </c>
      <c r="B192" s="9" t="s">
        <v>3592</v>
      </c>
      <c r="C192" t="s">
        <v>3947</v>
      </c>
      <c r="D192" s="11" t="s">
        <v>3592</v>
      </c>
      <c r="E192" s="11" t="s">
        <v>4115</v>
      </c>
      <c r="F192" t="str">
        <f t="shared" si="6"/>
        <v>UPDATE [MAP].[T_TRANS_COST_CODE] SET NEW_COST_CODE_ID = '08-9000', NEW_ITEM_ID = 'Contract Item' WHERE LEGACY_COST_CODE_ID = '08-9000' AND DATA_FOLDER_ID = 'sampl'</v>
      </c>
      <c r="G192" t="str">
        <f t="shared" si="7"/>
        <v>-</v>
      </c>
      <c r="H192" t="str">
        <f t="shared" si="8"/>
        <v>-</v>
      </c>
    </row>
    <row r="193" spans="1:8" x14ac:dyDescent="0.25">
      <c r="A193" s="2" t="s">
        <v>1</v>
      </c>
      <c r="B193" s="9" t="s">
        <v>3593</v>
      </c>
      <c r="C193" t="s">
        <v>3948</v>
      </c>
      <c r="D193" s="11" t="s">
        <v>3593</v>
      </c>
      <c r="E193" s="11" t="s">
        <v>4115</v>
      </c>
      <c r="F193" t="str">
        <f t="shared" si="6"/>
        <v>UPDATE [MAP].[T_TRANS_COST_CODE] SET NEW_COST_CODE_ID = '08-9200', NEW_ITEM_ID = 'Contract Item' WHERE LEGACY_COST_CODE_ID = '08-9200' AND DATA_FOLDER_ID = 'sampl'</v>
      </c>
      <c r="G193" t="str">
        <f t="shared" si="7"/>
        <v>-</v>
      </c>
      <c r="H193" t="str">
        <f t="shared" si="8"/>
        <v>-</v>
      </c>
    </row>
    <row r="194" spans="1:8" x14ac:dyDescent="0.25">
      <c r="A194" s="2" t="s">
        <v>1</v>
      </c>
      <c r="B194" s="9" t="s">
        <v>3594</v>
      </c>
      <c r="C194" t="s">
        <v>3949</v>
      </c>
      <c r="D194" s="11" t="s">
        <v>3594</v>
      </c>
      <c r="E194" s="11" t="s">
        <v>4114</v>
      </c>
      <c r="F194" t="str">
        <f t="shared" si="6"/>
        <v>UPDATE [MAP].[T_TRANS_COST_CODE] SET NEW_COST_CODE_ID = '09-0000', NEW_ITEM_ID = ' ' WHERE LEGACY_COST_CODE_ID = '09-0000' AND DATA_FOLDER_ID = 'sampl'</v>
      </c>
      <c r="G194" t="str">
        <f t="shared" si="7"/>
        <v>-</v>
      </c>
      <c r="H194" t="str">
        <f t="shared" si="8"/>
        <v>-</v>
      </c>
    </row>
    <row r="195" spans="1:8" x14ac:dyDescent="0.25">
      <c r="A195" s="2" t="s">
        <v>1</v>
      </c>
      <c r="B195" s="9" t="s">
        <v>3595</v>
      </c>
      <c r="C195" t="s">
        <v>3950</v>
      </c>
      <c r="D195" s="11" t="s">
        <v>3595</v>
      </c>
      <c r="E195" s="11" t="s">
        <v>4115</v>
      </c>
      <c r="F195" t="str">
        <f t="shared" si="6"/>
        <v>UPDATE [MAP].[T_TRANS_COST_CODE] SET NEW_COST_CODE_ID = '09-2110', NEW_ITEM_ID = 'Contract Item' WHERE LEGACY_COST_CODE_ID = '09-2110' AND DATA_FOLDER_ID = 'sampl'</v>
      </c>
      <c r="G195" t="str">
        <f t="shared" si="7"/>
        <v>-</v>
      </c>
      <c r="H195" t="str">
        <f t="shared" si="8"/>
        <v>-</v>
      </c>
    </row>
    <row r="196" spans="1:8" x14ac:dyDescent="0.25">
      <c r="A196" s="2" t="s">
        <v>1</v>
      </c>
      <c r="B196" s="9" t="s">
        <v>3596</v>
      </c>
      <c r="C196" t="s">
        <v>3951</v>
      </c>
      <c r="D196" s="11" t="s">
        <v>3596</v>
      </c>
      <c r="E196" s="11" t="s">
        <v>4115</v>
      </c>
      <c r="F196" t="str">
        <f t="shared" si="6"/>
        <v>UPDATE [MAP].[T_TRANS_COST_CODE] SET NEW_COST_CODE_ID = '09-2120', NEW_ITEM_ID = 'Contract Item' WHERE LEGACY_COST_CODE_ID = '09-2120' AND DATA_FOLDER_ID = 'sampl'</v>
      </c>
      <c r="G196" t="str">
        <f t="shared" si="7"/>
        <v>-</v>
      </c>
      <c r="H196" t="str">
        <f t="shared" si="8"/>
        <v>-</v>
      </c>
    </row>
    <row r="197" spans="1:8" x14ac:dyDescent="0.25">
      <c r="A197" s="2" t="s">
        <v>1</v>
      </c>
      <c r="B197" s="9" t="s">
        <v>3597</v>
      </c>
      <c r="C197" t="s">
        <v>3952</v>
      </c>
      <c r="D197" s="11" t="s">
        <v>3597</v>
      </c>
      <c r="E197" s="11" t="s">
        <v>4115</v>
      </c>
      <c r="F197" t="str">
        <f t="shared" ref="F197:F260" si="9">"UPDATE "&amp;F$3&amp;" SET NEW_COST_CODE_ID = '"&amp;D197&amp;"', NEW_ITEM_ID = '"&amp;E197&amp;"' WHERE LEGACY_COST_CODE_ID = '"&amp;B197&amp;"' AND DATA_FOLDER_ID = '"&amp;A197&amp;"'"</f>
        <v>UPDATE [MAP].[T_TRANS_COST_CODE] SET NEW_COST_CODE_ID = '09-2130', NEW_ITEM_ID = 'Contract Item' WHERE LEGACY_COST_CODE_ID = '09-2130' AND DATA_FOLDER_ID = 'sampl'</v>
      </c>
      <c r="G197" t="str">
        <f t="shared" ref="G197:G260" si="10">IF(B197&lt;&gt;D197,"Changed","-")</f>
        <v>-</v>
      </c>
      <c r="H197" t="str">
        <f t="shared" ref="H197:H260" si="11">IF(B197="","Hide","-")</f>
        <v>-</v>
      </c>
    </row>
    <row r="198" spans="1:8" x14ac:dyDescent="0.25">
      <c r="A198" s="2" t="s">
        <v>1</v>
      </c>
      <c r="B198" s="9" t="s">
        <v>3598</v>
      </c>
      <c r="C198" t="s">
        <v>3953</v>
      </c>
      <c r="D198" s="11" t="s">
        <v>3598</v>
      </c>
      <c r="E198" s="11" t="s">
        <v>4115</v>
      </c>
      <c r="F198" t="str">
        <f t="shared" si="9"/>
        <v>UPDATE [MAP].[T_TRANS_COST_CODE] SET NEW_COST_CODE_ID = '09-2140', NEW_ITEM_ID = 'Contract Item' WHERE LEGACY_COST_CODE_ID = '09-2140' AND DATA_FOLDER_ID = 'sampl'</v>
      </c>
      <c r="G198" t="str">
        <f t="shared" si="10"/>
        <v>-</v>
      </c>
      <c r="H198" t="str">
        <f t="shared" si="11"/>
        <v>-</v>
      </c>
    </row>
    <row r="199" spans="1:8" x14ac:dyDescent="0.25">
      <c r="A199" s="2" t="s">
        <v>1</v>
      </c>
      <c r="B199" s="9" t="s">
        <v>3599</v>
      </c>
      <c r="C199" t="s">
        <v>3954</v>
      </c>
      <c r="D199" s="11" t="s">
        <v>3599</v>
      </c>
      <c r="E199" s="11" t="s">
        <v>4115</v>
      </c>
      <c r="F199" t="str">
        <f t="shared" si="9"/>
        <v>UPDATE [MAP].[T_TRANS_COST_CODE] SET NEW_COST_CODE_ID = '09-2150', NEW_ITEM_ID = 'Contract Item' WHERE LEGACY_COST_CODE_ID = '09-2150' AND DATA_FOLDER_ID = 'sampl'</v>
      </c>
      <c r="G199" t="str">
        <f t="shared" si="10"/>
        <v>-</v>
      </c>
      <c r="H199" t="str">
        <f t="shared" si="11"/>
        <v>-</v>
      </c>
    </row>
    <row r="200" spans="1:8" x14ac:dyDescent="0.25">
      <c r="A200" s="2" t="s">
        <v>1</v>
      </c>
      <c r="B200" s="9" t="s">
        <v>3600</v>
      </c>
      <c r="C200" t="s">
        <v>3955</v>
      </c>
      <c r="D200" s="11" t="s">
        <v>3600</v>
      </c>
      <c r="E200" s="11" t="s">
        <v>4115</v>
      </c>
      <c r="F200" t="str">
        <f t="shared" si="9"/>
        <v>UPDATE [MAP].[T_TRANS_COST_CODE] SET NEW_COST_CODE_ID = '09-2213', NEW_ITEM_ID = 'Contract Item' WHERE LEGACY_COST_CODE_ID = '09-2213' AND DATA_FOLDER_ID = 'sampl'</v>
      </c>
      <c r="G200" t="str">
        <f t="shared" si="10"/>
        <v>-</v>
      </c>
      <c r="H200" t="str">
        <f t="shared" si="11"/>
        <v>-</v>
      </c>
    </row>
    <row r="201" spans="1:8" x14ac:dyDescent="0.25">
      <c r="A201" s="2" t="s">
        <v>1</v>
      </c>
      <c r="B201" s="9" t="s">
        <v>3601</v>
      </c>
      <c r="C201" t="s">
        <v>3956</v>
      </c>
      <c r="D201" s="11" t="s">
        <v>3601</v>
      </c>
      <c r="E201" s="11" t="s">
        <v>4115</v>
      </c>
      <c r="F201" t="str">
        <f t="shared" si="9"/>
        <v>UPDATE [MAP].[T_TRANS_COST_CODE] SET NEW_COST_CODE_ID = '09-2216', NEW_ITEM_ID = 'Contract Item' WHERE LEGACY_COST_CODE_ID = '09-2216' AND DATA_FOLDER_ID = 'sampl'</v>
      </c>
      <c r="G201" t="str">
        <f t="shared" si="10"/>
        <v>-</v>
      </c>
      <c r="H201" t="str">
        <f t="shared" si="11"/>
        <v>-</v>
      </c>
    </row>
    <row r="202" spans="1:8" x14ac:dyDescent="0.25">
      <c r="A202" s="2" t="s">
        <v>1</v>
      </c>
      <c r="B202" s="9" t="s">
        <v>3602</v>
      </c>
      <c r="C202" t="s">
        <v>3957</v>
      </c>
      <c r="D202" s="11" t="s">
        <v>3602</v>
      </c>
      <c r="E202" s="11" t="s">
        <v>4115</v>
      </c>
      <c r="F202" t="str">
        <f t="shared" si="9"/>
        <v>UPDATE [MAP].[T_TRANS_COST_CODE] SET NEW_COST_CODE_ID = '09-2217', NEW_ITEM_ID = 'Contract Item' WHERE LEGACY_COST_CODE_ID = '09-2217' AND DATA_FOLDER_ID = 'sampl'</v>
      </c>
      <c r="G202" t="str">
        <f t="shared" si="10"/>
        <v>-</v>
      </c>
      <c r="H202" t="str">
        <f t="shared" si="11"/>
        <v>-</v>
      </c>
    </row>
    <row r="203" spans="1:8" x14ac:dyDescent="0.25">
      <c r="A203" s="2" t="s">
        <v>1</v>
      </c>
      <c r="B203" s="9" t="s">
        <v>3603</v>
      </c>
      <c r="C203" t="s">
        <v>3958</v>
      </c>
      <c r="D203" s="11" t="s">
        <v>3603</v>
      </c>
      <c r="E203" s="11" t="s">
        <v>4115</v>
      </c>
      <c r="F203" t="str">
        <f t="shared" si="9"/>
        <v>UPDATE [MAP].[T_TRANS_COST_CODE] SET NEW_COST_CODE_ID = '09-2260', NEW_ITEM_ID = 'Contract Item' WHERE LEGACY_COST_CODE_ID = '09-2260' AND DATA_FOLDER_ID = 'sampl'</v>
      </c>
      <c r="G203" t="str">
        <f t="shared" si="10"/>
        <v>-</v>
      </c>
      <c r="H203" t="str">
        <f t="shared" si="11"/>
        <v>-</v>
      </c>
    </row>
    <row r="204" spans="1:8" x14ac:dyDescent="0.25">
      <c r="A204" s="2" t="s">
        <v>1</v>
      </c>
      <c r="B204" s="9" t="s">
        <v>3604</v>
      </c>
      <c r="C204" t="s">
        <v>3959</v>
      </c>
      <c r="D204" s="11" t="s">
        <v>3604</v>
      </c>
      <c r="E204" s="11" t="s">
        <v>4115</v>
      </c>
      <c r="F204" t="str">
        <f t="shared" si="9"/>
        <v>UPDATE [MAP].[T_TRANS_COST_CODE] SET NEW_COST_CODE_ID = '09-2900', NEW_ITEM_ID = 'Contract Item' WHERE LEGACY_COST_CODE_ID = '09-2900' AND DATA_FOLDER_ID = 'sampl'</v>
      </c>
      <c r="G204" t="str">
        <f t="shared" si="10"/>
        <v>-</v>
      </c>
      <c r="H204" t="str">
        <f t="shared" si="11"/>
        <v>-</v>
      </c>
    </row>
    <row r="205" spans="1:8" x14ac:dyDescent="0.25">
      <c r="A205" s="2" t="s">
        <v>1</v>
      </c>
      <c r="B205" s="9" t="s">
        <v>3605</v>
      </c>
      <c r="C205" t="s">
        <v>3960</v>
      </c>
      <c r="D205" s="11" t="s">
        <v>3605</v>
      </c>
      <c r="E205" s="11" t="s">
        <v>4115</v>
      </c>
      <c r="F205" t="str">
        <f t="shared" si="9"/>
        <v>UPDATE [MAP].[T_TRANS_COST_CODE] SET NEW_COST_CODE_ID = '09-2910', NEW_ITEM_ID = 'Contract Item' WHERE LEGACY_COST_CODE_ID = '09-2910' AND DATA_FOLDER_ID = 'sampl'</v>
      </c>
      <c r="G205" t="str">
        <f t="shared" si="10"/>
        <v>-</v>
      </c>
      <c r="H205" t="str">
        <f t="shared" si="11"/>
        <v>-</v>
      </c>
    </row>
    <row r="206" spans="1:8" x14ac:dyDescent="0.25">
      <c r="A206" s="2" t="s">
        <v>1</v>
      </c>
      <c r="B206" s="9" t="s">
        <v>3606</v>
      </c>
      <c r="C206" t="s">
        <v>3961</v>
      </c>
      <c r="D206" s="11" t="s">
        <v>3606</v>
      </c>
      <c r="E206" s="11" t="s">
        <v>4115</v>
      </c>
      <c r="F206" t="str">
        <f t="shared" si="9"/>
        <v>UPDATE [MAP].[T_TRANS_COST_CODE] SET NEW_COST_CODE_ID = '09-2920', NEW_ITEM_ID = 'Contract Item' WHERE LEGACY_COST_CODE_ID = '09-2920' AND DATA_FOLDER_ID = 'sampl'</v>
      </c>
      <c r="G206" t="str">
        <f t="shared" si="10"/>
        <v>-</v>
      </c>
      <c r="H206" t="str">
        <f t="shared" si="11"/>
        <v>-</v>
      </c>
    </row>
    <row r="207" spans="1:8" x14ac:dyDescent="0.25">
      <c r="A207" s="2" t="s">
        <v>1</v>
      </c>
      <c r="B207" s="9" t="s">
        <v>3607</v>
      </c>
      <c r="C207" t="s">
        <v>3962</v>
      </c>
      <c r="D207" s="11" t="s">
        <v>3607</v>
      </c>
      <c r="E207" s="11" t="s">
        <v>4115</v>
      </c>
      <c r="F207" t="str">
        <f t="shared" si="9"/>
        <v>UPDATE [MAP].[T_TRANS_COST_CODE] SET NEW_COST_CODE_ID = '09-3000', NEW_ITEM_ID = 'Contract Item' WHERE LEGACY_COST_CODE_ID = '09-3000' AND DATA_FOLDER_ID = 'sampl'</v>
      </c>
      <c r="G207" t="str">
        <f t="shared" si="10"/>
        <v>-</v>
      </c>
      <c r="H207" t="str">
        <f t="shared" si="11"/>
        <v>-</v>
      </c>
    </row>
    <row r="208" spans="1:8" x14ac:dyDescent="0.25">
      <c r="A208" s="2" t="s">
        <v>1</v>
      </c>
      <c r="B208" s="9" t="s">
        <v>3608</v>
      </c>
      <c r="C208" t="s">
        <v>3963</v>
      </c>
      <c r="D208" s="11" t="s">
        <v>3608</v>
      </c>
      <c r="E208" s="11" t="s">
        <v>4115</v>
      </c>
      <c r="F208" t="str">
        <f t="shared" si="9"/>
        <v>UPDATE [MAP].[T_TRANS_COST_CODE] SET NEW_COST_CODE_ID = '09-5100', NEW_ITEM_ID = 'Contract Item' WHERE LEGACY_COST_CODE_ID = '09-5100' AND DATA_FOLDER_ID = 'sampl'</v>
      </c>
      <c r="G208" t="str">
        <f t="shared" si="10"/>
        <v>-</v>
      </c>
      <c r="H208" t="str">
        <f t="shared" si="11"/>
        <v>-</v>
      </c>
    </row>
    <row r="209" spans="1:8" x14ac:dyDescent="0.25">
      <c r="A209" s="2" t="s">
        <v>1</v>
      </c>
      <c r="B209" s="9" t="s">
        <v>3609</v>
      </c>
      <c r="C209" t="s">
        <v>3964</v>
      </c>
      <c r="D209" s="11" t="s">
        <v>3609</v>
      </c>
      <c r="E209" s="11" t="s">
        <v>4115</v>
      </c>
      <c r="F209" t="str">
        <f t="shared" si="9"/>
        <v>UPDATE [MAP].[T_TRANS_COST_CODE] SET NEW_COST_CODE_ID = '09-5400', NEW_ITEM_ID = 'Contract Item' WHERE LEGACY_COST_CODE_ID = '09-5400' AND DATA_FOLDER_ID = 'sampl'</v>
      </c>
      <c r="G209" t="str">
        <f t="shared" si="10"/>
        <v>-</v>
      </c>
      <c r="H209" t="str">
        <f t="shared" si="11"/>
        <v>-</v>
      </c>
    </row>
    <row r="210" spans="1:8" x14ac:dyDescent="0.25">
      <c r="A210" s="2" t="s">
        <v>1</v>
      </c>
      <c r="B210" s="9" t="s">
        <v>3610</v>
      </c>
      <c r="C210" t="s">
        <v>3965</v>
      </c>
      <c r="D210" s="11" t="s">
        <v>3610</v>
      </c>
      <c r="E210" s="11" t="s">
        <v>4115</v>
      </c>
      <c r="F210" t="str">
        <f t="shared" si="9"/>
        <v>UPDATE [MAP].[T_TRANS_COST_CODE] SET NEW_COST_CODE_ID = '09-5426', NEW_ITEM_ID = 'Contract Item' WHERE LEGACY_COST_CODE_ID = '09-5426' AND DATA_FOLDER_ID = 'sampl'</v>
      </c>
      <c r="G210" t="str">
        <f t="shared" si="10"/>
        <v>-</v>
      </c>
      <c r="H210" t="str">
        <f t="shared" si="11"/>
        <v>-</v>
      </c>
    </row>
    <row r="211" spans="1:8" x14ac:dyDescent="0.25">
      <c r="A211" s="2" t="s">
        <v>1</v>
      </c>
      <c r="B211" s="9" t="s">
        <v>3611</v>
      </c>
      <c r="C211" t="s">
        <v>3966</v>
      </c>
      <c r="D211" s="11" t="s">
        <v>3611</v>
      </c>
      <c r="E211" s="11" t="s">
        <v>4115</v>
      </c>
      <c r="F211" t="str">
        <f t="shared" si="9"/>
        <v>UPDATE [MAP].[T_TRANS_COST_CODE] SET NEW_COST_CODE_ID = '09-6400', NEW_ITEM_ID = 'Contract Item' WHERE LEGACY_COST_CODE_ID = '09-6400' AND DATA_FOLDER_ID = 'sampl'</v>
      </c>
      <c r="G211" t="str">
        <f t="shared" si="10"/>
        <v>-</v>
      </c>
      <c r="H211" t="str">
        <f t="shared" si="11"/>
        <v>-</v>
      </c>
    </row>
    <row r="212" spans="1:8" x14ac:dyDescent="0.25">
      <c r="A212" s="2" t="s">
        <v>1</v>
      </c>
      <c r="B212" s="9" t="s">
        <v>3612</v>
      </c>
      <c r="C212" t="s">
        <v>3967</v>
      </c>
      <c r="D212" s="11" t="s">
        <v>3612</v>
      </c>
      <c r="E212" s="11" t="s">
        <v>4115</v>
      </c>
      <c r="F212" t="str">
        <f t="shared" si="9"/>
        <v>UPDATE [MAP].[T_TRANS_COST_CODE] SET NEW_COST_CODE_ID = '09-6500', NEW_ITEM_ID = 'Contract Item' WHERE LEGACY_COST_CODE_ID = '09-6500' AND DATA_FOLDER_ID = 'sampl'</v>
      </c>
      <c r="G212" t="str">
        <f t="shared" si="10"/>
        <v>-</v>
      </c>
      <c r="H212" t="str">
        <f t="shared" si="11"/>
        <v>-</v>
      </c>
    </row>
    <row r="213" spans="1:8" x14ac:dyDescent="0.25">
      <c r="A213" s="2" t="s">
        <v>1</v>
      </c>
      <c r="B213" s="9" t="s">
        <v>3613</v>
      </c>
      <c r="C213" t="s">
        <v>3968</v>
      </c>
      <c r="D213" s="11" t="s">
        <v>3613</v>
      </c>
      <c r="E213" s="11" t="s">
        <v>4115</v>
      </c>
      <c r="F213" t="str">
        <f t="shared" si="9"/>
        <v>UPDATE [MAP].[T_TRANS_COST_CODE] SET NEW_COST_CODE_ID = '09-6600', NEW_ITEM_ID = 'Contract Item' WHERE LEGACY_COST_CODE_ID = '09-6600' AND DATA_FOLDER_ID = 'sampl'</v>
      </c>
      <c r="G213" t="str">
        <f t="shared" si="10"/>
        <v>-</v>
      </c>
      <c r="H213" t="str">
        <f t="shared" si="11"/>
        <v>-</v>
      </c>
    </row>
    <row r="214" spans="1:8" x14ac:dyDescent="0.25">
      <c r="A214" s="2" t="s">
        <v>1</v>
      </c>
      <c r="B214" s="9" t="s">
        <v>3614</v>
      </c>
      <c r="C214" t="s">
        <v>3969</v>
      </c>
      <c r="D214" s="11" t="s">
        <v>3614</v>
      </c>
      <c r="E214" s="11" t="s">
        <v>4115</v>
      </c>
      <c r="F214" t="str">
        <f t="shared" si="9"/>
        <v>UPDATE [MAP].[T_TRANS_COST_CODE] SET NEW_COST_CODE_ID = '09-6700', NEW_ITEM_ID = 'Contract Item' WHERE LEGACY_COST_CODE_ID = '09-6700' AND DATA_FOLDER_ID = 'sampl'</v>
      </c>
      <c r="G214" t="str">
        <f t="shared" si="10"/>
        <v>-</v>
      </c>
      <c r="H214" t="str">
        <f t="shared" si="11"/>
        <v>-</v>
      </c>
    </row>
    <row r="215" spans="1:8" x14ac:dyDescent="0.25">
      <c r="A215" s="2" t="s">
        <v>1</v>
      </c>
      <c r="B215" s="9" t="s">
        <v>3615</v>
      </c>
      <c r="C215" t="s">
        <v>3970</v>
      </c>
      <c r="D215" s="11" t="s">
        <v>3615</v>
      </c>
      <c r="E215" s="11" t="s">
        <v>4115</v>
      </c>
      <c r="F215" t="str">
        <f t="shared" si="9"/>
        <v>UPDATE [MAP].[T_TRANS_COST_CODE] SET NEW_COST_CODE_ID = '09-6800', NEW_ITEM_ID = 'Contract Item' WHERE LEGACY_COST_CODE_ID = '09-6800' AND DATA_FOLDER_ID = 'sampl'</v>
      </c>
      <c r="G215" t="str">
        <f t="shared" si="10"/>
        <v>-</v>
      </c>
      <c r="H215" t="str">
        <f t="shared" si="11"/>
        <v>-</v>
      </c>
    </row>
    <row r="216" spans="1:8" x14ac:dyDescent="0.25">
      <c r="A216" s="2" t="s">
        <v>1</v>
      </c>
      <c r="B216" s="9" t="s">
        <v>3616</v>
      </c>
      <c r="C216" t="s">
        <v>3971</v>
      </c>
      <c r="D216" s="11" t="s">
        <v>3616</v>
      </c>
      <c r="E216" s="11" t="s">
        <v>4115</v>
      </c>
      <c r="F216" t="str">
        <f t="shared" si="9"/>
        <v>UPDATE [MAP].[T_TRANS_COST_CODE] SET NEW_COST_CODE_ID = '09-6900', NEW_ITEM_ID = 'Contract Item' WHERE LEGACY_COST_CODE_ID = '09-6900' AND DATA_FOLDER_ID = 'sampl'</v>
      </c>
      <c r="G216" t="str">
        <f t="shared" si="10"/>
        <v>-</v>
      </c>
      <c r="H216" t="str">
        <f t="shared" si="11"/>
        <v>-</v>
      </c>
    </row>
    <row r="217" spans="1:8" x14ac:dyDescent="0.25">
      <c r="A217" s="2" t="s">
        <v>1</v>
      </c>
      <c r="B217" s="9" t="s">
        <v>3617</v>
      </c>
      <c r="C217" t="s">
        <v>3972</v>
      </c>
      <c r="D217" s="11" t="s">
        <v>3617</v>
      </c>
      <c r="E217" s="11" t="s">
        <v>4115</v>
      </c>
      <c r="F217" t="str">
        <f t="shared" si="9"/>
        <v>UPDATE [MAP].[T_TRANS_COST_CODE] SET NEW_COST_CODE_ID = '09-9000', NEW_ITEM_ID = 'Contract Item' WHERE LEGACY_COST_CODE_ID = '09-9000' AND DATA_FOLDER_ID = 'sampl'</v>
      </c>
      <c r="G217" t="str">
        <f t="shared" si="10"/>
        <v>-</v>
      </c>
      <c r="H217" t="str">
        <f t="shared" si="11"/>
        <v>-</v>
      </c>
    </row>
    <row r="218" spans="1:8" x14ac:dyDescent="0.25">
      <c r="A218" s="2" t="s">
        <v>1</v>
      </c>
      <c r="B218" s="9" t="s">
        <v>3618</v>
      </c>
      <c r="C218" t="s">
        <v>3973</v>
      </c>
      <c r="D218" s="11" t="s">
        <v>3618</v>
      </c>
      <c r="E218" s="11" t="s">
        <v>4114</v>
      </c>
      <c r="F218" t="str">
        <f t="shared" si="9"/>
        <v>UPDATE [MAP].[T_TRANS_COST_CODE] SET NEW_COST_CODE_ID = '10-0000', NEW_ITEM_ID = ' ' WHERE LEGACY_COST_CODE_ID = '10-0000' AND DATA_FOLDER_ID = 'sampl'</v>
      </c>
      <c r="G218" t="str">
        <f t="shared" si="10"/>
        <v>-</v>
      </c>
      <c r="H218" t="str">
        <f t="shared" si="11"/>
        <v>-</v>
      </c>
    </row>
    <row r="219" spans="1:8" x14ac:dyDescent="0.25">
      <c r="A219" s="2" t="s">
        <v>1</v>
      </c>
      <c r="B219" s="9" t="s">
        <v>3619</v>
      </c>
      <c r="C219" t="s">
        <v>3974</v>
      </c>
      <c r="D219" s="11" t="s">
        <v>3619</v>
      </c>
      <c r="E219" s="11" t="s">
        <v>4115</v>
      </c>
      <c r="F219" t="str">
        <f t="shared" si="9"/>
        <v>UPDATE [MAP].[T_TRANS_COST_CODE] SET NEW_COST_CODE_ID = '10-1100', NEW_ITEM_ID = 'Contract Item' WHERE LEGACY_COST_CODE_ID = '10-1100' AND DATA_FOLDER_ID = 'sampl'</v>
      </c>
      <c r="G219" t="str">
        <f t="shared" si="10"/>
        <v>-</v>
      </c>
      <c r="H219" t="str">
        <f t="shared" si="11"/>
        <v>-</v>
      </c>
    </row>
    <row r="220" spans="1:8" x14ac:dyDescent="0.25">
      <c r="A220" s="2" t="s">
        <v>1</v>
      </c>
      <c r="B220" s="9" t="s">
        <v>3620</v>
      </c>
      <c r="C220" t="s">
        <v>3975</v>
      </c>
      <c r="D220" s="11" t="s">
        <v>3620</v>
      </c>
      <c r="E220" s="11" t="s">
        <v>4115</v>
      </c>
      <c r="F220" t="str">
        <f t="shared" si="9"/>
        <v>UPDATE [MAP].[T_TRANS_COST_CODE] SET NEW_COST_CODE_ID = '10-1400', NEW_ITEM_ID = 'Contract Item' WHERE LEGACY_COST_CODE_ID = '10-1400' AND DATA_FOLDER_ID = 'sampl'</v>
      </c>
      <c r="G220" t="str">
        <f t="shared" si="10"/>
        <v>-</v>
      </c>
      <c r="H220" t="str">
        <f t="shared" si="11"/>
        <v>-</v>
      </c>
    </row>
    <row r="221" spans="1:8" x14ac:dyDescent="0.25">
      <c r="A221" s="2" t="s">
        <v>1</v>
      </c>
      <c r="B221" s="9" t="s">
        <v>3621</v>
      </c>
      <c r="C221" t="s">
        <v>3976</v>
      </c>
      <c r="D221" s="11" t="s">
        <v>3621</v>
      </c>
      <c r="E221" s="11" t="s">
        <v>4115</v>
      </c>
      <c r="F221" t="str">
        <f t="shared" si="9"/>
        <v>UPDATE [MAP].[T_TRANS_COST_CODE] SET NEW_COST_CODE_ID = '10-1453', NEW_ITEM_ID = 'Contract Item' WHERE LEGACY_COST_CODE_ID = '10-1453' AND DATA_FOLDER_ID = 'sampl'</v>
      </c>
      <c r="G221" t="str">
        <f t="shared" si="10"/>
        <v>-</v>
      </c>
      <c r="H221" t="str">
        <f t="shared" si="11"/>
        <v>-</v>
      </c>
    </row>
    <row r="222" spans="1:8" x14ac:dyDescent="0.25">
      <c r="A222" s="2" t="s">
        <v>1</v>
      </c>
      <c r="B222" s="9" t="s">
        <v>3622</v>
      </c>
      <c r="C222" t="s">
        <v>3977</v>
      </c>
      <c r="D222" s="11" t="s">
        <v>3622</v>
      </c>
      <c r="E222" s="11" t="s">
        <v>4115</v>
      </c>
      <c r="F222" t="str">
        <f t="shared" si="9"/>
        <v>UPDATE [MAP].[T_TRANS_COST_CODE] SET NEW_COST_CODE_ID = '10-2113', NEW_ITEM_ID = 'Contract Item' WHERE LEGACY_COST_CODE_ID = '10-2113' AND DATA_FOLDER_ID = 'sampl'</v>
      </c>
      <c r="G222" t="str">
        <f t="shared" si="10"/>
        <v>-</v>
      </c>
      <c r="H222" t="str">
        <f t="shared" si="11"/>
        <v>-</v>
      </c>
    </row>
    <row r="223" spans="1:8" x14ac:dyDescent="0.25">
      <c r="A223" s="2" t="s">
        <v>1</v>
      </c>
      <c r="B223" s="9" t="s">
        <v>3623</v>
      </c>
      <c r="C223" t="s">
        <v>3978</v>
      </c>
      <c r="D223" s="11" t="s">
        <v>3623</v>
      </c>
      <c r="E223" s="11" t="s">
        <v>4115</v>
      </c>
      <c r="F223" t="str">
        <f t="shared" si="9"/>
        <v>UPDATE [MAP].[T_TRANS_COST_CODE] SET NEW_COST_CODE_ID = '10-2123', NEW_ITEM_ID = 'Contract Item' WHERE LEGACY_COST_CODE_ID = '10-2123' AND DATA_FOLDER_ID = 'sampl'</v>
      </c>
      <c r="G223" t="str">
        <f t="shared" si="10"/>
        <v>-</v>
      </c>
      <c r="H223" t="str">
        <f t="shared" si="11"/>
        <v>-</v>
      </c>
    </row>
    <row r="224" spans="1:8" x14ac:dyDescent="0.25">
      <c r="A224" s="2" t="s">
        <v>1</v>
      </c>
      <c r="B224" s="9" t="s">
        <v>3624</v>
      </c>
      <c r="C224" t="s">
        <v>3979</v>
      </c>
      <c r="D224" s="11" t="s">
        <v>3624</v>
      </c>
      <c r="E224" s="11" t="s">
        <v>4115</v>
      </c>
      <c r="F224" t="str">
        <f t="shared" si="9"/>
        <v>UPDATE [MAP].[T_TRANS_COST_CODE] SET NEW_COST_CODE_ID = '10-2200', NEW_ITEM_ID = 'Contract Item' WHERE LEGACY_COST_CODE_ID = '10-2200' AND DATA_FOLDER_ID = 'sampl'</v>
      </c>
      <c r="G224" t="str">
        <f t="shared" si="10"/>
        <v>-</v>
      </c>
      <c r="H224" t="str">
        <f t="shared" si="11"/>
        <v>-</v>
      </c>
    </row>
    <row r="225" spans="1:8" x14ac:dyDescent="0.25">
      <c r="A225" s="2" t="s">
        <v>1</v>
      </c>
      <c r="B225" s="9" t="s">
        <v>3625</v>
      </c>
      <c r="C225" t="s">
        <v>3980</v>
      </c>
      <c r="D225" s="11" t="s">
        <v>3625</v>
      </c>
      <c r="E225" s="11" t="s">
        <v>4115</v>
      </c>
      <c r="F225" t="str">
        <f t="shared" si="9"/>
        <v>UPDATE [MAP].[T_TRANS_COST_CODE] SET NEW_COST_CODE_ID = '10-2213', NEW_ITEM_ID = 'Contract Item' WHERE LEGACY_COST_CODE_ID = '10-2213' AND DATA_FOLDER_ID = 'sampl'</v>
      </c>
      <c r="G225" t="str">
        <f t="shared" si="10"/>
        <v>-</v>
      </c>
      <c r="H225" t="str">
        <f t="shared" si="11"/>
        <v>-</v>
      </c>
    </row>
    <row r="226" spans="1:8" x14ac:dyDescent="0.25">
      <c r="A226" s="2" t="s">
        <v>1</v>
      </c>
      <c r="B226" s="9" t="s">
        <v>3626</v>
      </c>
      <c r="C226" t="s">
        <v>3981</v>
      </c>
      <c r="D226" s="11" t="s">
        <v>3626</v>
      </c>
      <c r="E226" s="11" t="s">
        <v>4115</v>
      </c>
      <c r="F226" t="str">
        <f t="shared" si="9"/>
        <v>UPDATE [MAP].[T_TRANS_COST_CODE] SET NEW_COST_CODE_ID = '10-2600', NEW_ITEM_ID = 'Contract Item' WHERE LEGACY_COST_CODE_ID = '10-2600' AND DATA_FOLDER_ID = 'sampl'</v>
      </c>
      <c r="G226" t="str">
        <f t="shared" si="10"/>
        <v>-</v>
      </c>
      <c r="H226" t="str">
        <f t="shared" si="11"/>
        <v>-</v>
      </c>
    </row>
    <row r="227" spans="1:8" x14ac:dyDescent="0.25">
      <c r="A227" s="2" t="s">
        <v>1</v>
      </c>
      <c r="B227" s="9" t="s">
        <v>3627</v>
      </c>
      <c r="C227" t="s">
        <v>3982</v>
      </c>
      <c r="D227" s="11" t="s">
        <v>3627</v>
      </c>
      <c r="E227" s="11" t="s">
        <v>4115</v>
      </c>
      <c r="F227" t="str">
        <f t="shared" si="9"/>
        <v>UPDATE [MAP].[T_TRANS_COST_CODE] SET NEW_COST_CODE_ID = '10-2623', NEW_ITEM_ID = 'Contract Item' WHERE LEGACY_COST_CODE_ID = '10-2623' AND DATA_FOLDER_ID = 'sampl'</v>
      </c>
      <c r="G227" t="str">
        <f t="shared" si="10"/>
        <v>-</v>
      </c>
      <c r="H227" t="str">
        <f t="shared" si="11"/>
        <v>-</v>
      </c>
    </row>
    <row r="228" spans="1:8" x14ac:dyDescent="0.25">
      <c r="A228" s="2" t="s">
        <v>1</v>
      </c>
      <c r="B228" s="9" t="s">
        <v>3628</v>
      </c>
      <c r="C228" t="s">
        <v>3983</v>
      </c>
      <c r="D228" s="11" t="s">
        <v>3628</v>
      </c>
      <c r="E228" s="11" t="s">
        <v>4115</v>
      </c>
      <c r="F228" t="str">
        <f t="shared" si="9"/>
        <v>UPDATE [MAP].[T_TRANS_COST_CODE] SET NEW_COST_CODE_ID = '10-2800', NEW_ITEM_ID = 'Contract Item' WHERE LEGACY_COST_CODE_ID = '10-2800' AND DATA_FOLDER_ID = 'sampl'</v>
      </c>
      <c r="G228" t="str">
        <f t="shared" si="10"/>
        <v>-</v>
      </c>
      <c r="H228" t="str">
        <f t="shared" si="11"/>
        <v>-</v>
      </c>
    </row>
    <row r="229" spans="1:8" x14ac:dyDescent="0.25">
      <c r="A229" s="2" t="s">
        <v>1</v>
      </c>
      <c r="B229" s="9" t="s">
        <v>3629</v>
      </c>
      <c r="C229" t="s">
        <v>3984</v>
      </c>
      <c r="D229" s="11" t="s">
        <v>3629</v>
      </c>
      <c r="E229" s="11" t="s">
        <v>4115</v>
      </c>
      <c r="F229" t="str">
        <f t="shared" si="9"/>
        <v>UPDATE [MAP].[T_TRANS_COST_CODE] SET NEW_COST_CODE_ID = '10-2900', NEW_ITEM_ID = 'Contract Item' WHERE LEGACY_COST_CODE_ID = '10-2900' AND DATA_FOLDER_ID = 'sampl'</v>
      </c>
      <c r="G229" t="str">
        <f t="shared" si="10"/>
        <v>-</v>
      </c>
      <c r="H229" t="str">
        <f t="shared" si="11"/>
        <v>-</v>
      </c>
    </row>
    <row r="230" spans="1:8" x14ac:dyDescent="0.25">
      <c r="A230" s="2" t="s">
        <v>1</v>
      </c>
      <c r="B230" s="9" t="s">
        <v>3630</v>
      </c>
      <c r="C230" t="s">
        <v>3985</v>
      </c>
      <c r="D230" s="11" t="s">
        <v>3630</v>
      </c>
      <c r="E230" s="11" t="s">
        <v>4115</v>
      </c>
      <c r="F230" t="str">
        <f t="shared" si="9"/>
        <v>UPDATE [MAP].[T_TRANS_COST_CODE] SET NEW_COST_CODE_ID = '10-3000', NEW_ITEM_ID = 'Contract Item' WHERE LEGACY_COST_CODE_ID = '10-3000' AND DATA_FOLDER_ID = 'sampl'</v>
      </c>
      <c r="G230" t="str">
        <f t="shared" si="10"/>
        <v>-</v>
      </c>
      <c r="H230" t="str">
        <f t="shared" si="11"/>
        <v>-</v>
      </c>
    </row>
    <row r="231" spans="1:8" x14ac:dyDescent="0.25">
      <c r="A231" s="2" t="s">
        <v>1</v>
      </c>
      <c r="B231" s="9" t="s">
        <v>3631</v>
      </c>
      <c r="C231" t="s">
        <v>3986</v>
      </c>
      <c r="D231" s="11" t="s">
        <v>3631</v>
      </c>
      <c r="E231" s="11" t="s">
        <v>4115</v>
      </c>
      <c r="F231" t="str">
        <f t="shared" si="9"/>
        <v>UPDATE [MAP].[T_TRANS_COST_CODE] SET NEW_COST_CODE_ID = '10-4400', NEW_ITEM_ID = 'Contract Item' WHERE LEGACY_COST_CODE_ID = '10-4400' AND DATA_FOLDER_ID = 'sampl'</v>
      </c>
      <c r="G231" t="str">
        <f t="shared" si="10"/>
        <v>-</v>
      </c>
      <c r="H231" t="str">
        <f t="shared" si="11"/>
        <v>-</v>
      </c>
    </row>
    <row r="232" spans="1:8" x14ac:dyDescent="0.25">
      <c r="A232" s="2" t="s">
        <v>1</v>
      </c>
      <c r="B232" s="9" t="s">
        <v>3632</v>
      </c>
      <c r="C232" t="s">
        <v>3987</v>
      </c>
      <c r="D232" s="11" t="s">
        <v>3632</v>
      </c>
      <c r="E232" s="11" t="s">
        <v>4115</v>
      </c>
      <c r="F232" t="str">
        <f t="shared" si="9"/>
        <v>UPDATE [MAP].[T_TRANS_COST_CODE] SET NEW_COST_CODE_ID = '10-5100', NEW_ITEM_ID = 'Contract Item' WHERE LEGACY_COST_CODE_ID = '10-5100' AND DATA_FOLDER_ID = 'sampl'</v>
      </c>
      <c r="G232" t="str">
        <f t="shared" si="10"/>
        <v>-</v>
      </c>
      <c r="H232" t="str">
        <f t="shared" si="11"/>
        <v>-</v>
      </c>
    </row>
    <row r="233" spans="1:8" x14ac:dyDescent="0.25">
      <c r="A233" s="2" t="s">
        <v>1</v>
      </c>
      <c r="B233" s="9" t="s">
        <v>3633</v>
      </c>
      <c r="C233" t="s">
        <v>3988</v>
      </c>
      <c r="D233" s="11" t="s">
        <v>3633</v>
      </c>
      <c r="E233" s="11" t="s">
        <v>4115</v>
      </c>
      <c r="F233" t="str">
        <f t="shared" si="9"/>
        <v>UPDATE [MAP].[T_TRANS_COST_CODE] SET NEW_COST_CODE_ID = '10-5500', NEW_ITEM_ID = 'Contract Item' WHERE LEGACY_COST_CODE_ID = '10-5500' AND DATA_FOLDER_ID = 'sampl'</v>
      </c>
      <c r="G233" t="str">
        <f t="shared" si="10"/>
        <v>-</v>
      </c>
      <c r="H233" t="str">
        <f t="shared" si="11"/>
        <v>-</v>
      </c>
    </row>
    <row r="234" spans="1:8" x14ac:dyDescent="0.25">
      <c r="A234" s="2" t="s">
        <v>1</v>
      </c>
      <c r="B234" s="9" t="s">
        <v>3634</v>
      </c>
      <c r="C234" t="s">
        <v>3989</v>
      </c>
      <c r="D234" s="11" t="s">
        <v>3634</v>
      </c>
      <c r="E234" s="11" t="s">
        <v>4115</v>
      </c>
      <c r="F234" t="str">
        <f t="shared" si="9"/>
        <v>UPDATE [MAP].[T_TRANS_COST_CODE] SET NEW_COST_CODE_ID = '10-5600', NEW_ITEM_ID = 'Contract Item' WHERE LEGACY_COST_CODE_ID = '10-5600' AND DATA_FOLDER_ID = 'sampl'</v>
      </c>
      <c r="G234" t="str">
        <f t="shared" si="10"/>
        <v>-</v>
      </c>
      <c r="H234" t="str">
        <f t="shared" si="11"/>
        <v>-</v>
      </c>
    </row>
    <row r="235" spans="1:8" x14ac:dyDescent="0.25">
      <c r="A235" s="2" t="s">
        <v>1</v>
      </c>
      <c r="B235" s="9" t="s">
        <v>3635</v>
      </c>
      <c r="C235" t="s">
        <v>3990</v>
      </c>
      <c r="D235" s="11" t="s">
        <v>3635</v>
      </c>
      <c r="E235" s="11" t="s">
        <v>4115</v>
      </c>
      <c r="F235" t="str">
        <f t="shared" si="9"/>
        <v>UPDATE [MAP].[T_TRANS_COST_CODE] SET NEW_COST_CODE_ID = '10-5700', NEW_ITEM_ID = 'Contract Item' WHERE LEGACY_COST_CODE_ID = '10-5700' AND DATA_FOLDER_ID = 'sampl'</v>
      </c>
      <c r="G235" t="str">
        <f t="shared" si="10"/>
        <v>-</v>
      </c>
      <c r="H235" t="str">
        <f t="shared" si="11"/>
        <v>-</v>
      </c>
    </row>
    <row r="236" spans="1:8" x14ac:dyDescent="0.25">
      <c r="A236" s="2" t="s">
        <v>1</v>
      </c>
      <c r="B236" s="9" t="s">
        <v>3636</v>
      </c>
      <c r="C236" t="s">
        <v>3991</v>
      </c>
      <c r="D236" s="11" t="s">
        <v>3636</v>
      </c>
      <c r="E236" s="11" t="s">
        <v>4115</v>
      </c>
      <c r="F236" t="str">
        <f t="shared" si="9"/>
        <v>UPDATE [MAP].[T_TRANS_COST_CODE] SET NEW_COST_CODE_ID = '10-7300', NEW_ITEM_ID = 'Contract Item' WHERE LEGACY_COST_CODE_ID = '10-7300' AND DATA_FOLDER_ID = 'sampl'</v>
      </c>
      <c r="G236" t="str">
        <f t="shared" si="10"/>
        <v>-</v>
      </c>
      <c r="H236" t="str">
        <f t="shared" si="11"/>
        <v>-</v>
      </c>
    </row>
    <row r="237" spans="1:8" x14ac:dyDescent="0.25">
      <c r="A237" s="2" t="s">
        <v>1</v>
      </c>
      <c r="B237" s="9" t="s">
        <v>3637</v>
      </c>
      <c r="C237" t="s">
        <v>3992</v>
      </c>
      <c r="D237" s="11" t="s">
        <v>3637</v>
      </c>
      <c r="E237" s="11" t="s">
        <v>4115</v>
      </c>
      <c r="F237" t="str">
        <f t="shared" si="9"/>
        <v>UPDATE [MAP].[T_TRANS_COST_CODE] SET NEW_COST_CODE_ID = '10-7500', NEW_ITEM_ID = 'Contract Item' WHERE LEGACY_COST_CODE_ID = '10-7500' AND DATA_FOLDER_ID = 'sampl'</v>
      </c>
      <c r="G237" t="str">
        <f t="shared" si="10"/>
        <v>-</v>
      </c>
      <c r="H237" t="str">
        <f t="shared" si="11"/>
        <v>-</v>
      </c>
    </row>
    <row r="238" spans="1:8" x14ac:dyDescent="0.25">
      <c r="A238" s="2" t="s">
        <v>1</v>
      </c>
      <c r="B238" s="9" t="s">
        <v>3638</v>
      </c>
      <c r="C238" t="s">
        <v>3993</v>
      </c>
      <c r="D238" s="11" t="s">
        <v>3638</v>
      </c>
      <c r="E238" s="11" t="s">
        <v>4115</v>
      </c>
      <c r="F238" t="str">
        <f t="shared" si="9"/>
        <v>UPDATE [MAP].[T_TRANS_COST_CODE] SET NEW_COST_CODE_ID = '10-8100', NEW_ITEM_ID = 'Contract Item' WHERE LEGACY_COST_CODE_ID = '10-8100' AND DATA_FOLDER_ID = 'sampl'</v>
      </c>
      <c r="G238" t="str">
        <f t="shared" si="10"/>
        <v>-</v>
      </c>
      <c r="H238" t="str">
        <f t="shared" si="11"/>
        <v>-</v>
      </c>
    </row>
    <row r="239" spans="1:8" x14ac:dyDescent="0.25">
      <c r="A239" s="2" t="s">
        <v>1</v>
      </c>
      <c r="B239" s="9" t="s">
        <v>3639</v>
      </c>
      <c r="C239" t="s">
        <v>3994</v>
      </c>
      <c r="D239" s="11" t="s">
        <v>3639</v>
      </c>
      <c r="E239" s="11" t="s">
        <v>4114</v>
      </c>
      <c r="F239" t="str">
        <f t="shared" si="9"/>
        <v>UPDATE [MAP].[T_TRANS_COST_CODE] SET NEW_COST_CODE_ID = '11-0000', NEW_ITEM_ID = ' ' WHERE LEGACY_COST_CODE_ID = '11-0000' AND DATA_FOLDER_ID = 'sampl'</v>
      </c>
      <c r="G239" t="str">
        <f t="shared" si="10"/>
        <v>-</v>
      </c>
      <c r="H239" t="str">
        <f t="shared" si="11"/>
        <v>-</v>
      </c>
    </row>
    <row r="240" spans="1:8" x14ac:dyDescent="0.25">
      <c r="A240" s="2" t="s">
        <v>1</v>
      </c>
      <c r="B240" s="9" t="s">
        <v>3640</v>
      </c>
      <c r="C240" t="s">
        <v>3995</v>
      </c>
      <c r="D240" s="11" t="s">
        <v>3640</v>
      </c>
      <c r="E240" s="11" t="s">
        <v>4115</v>
      </c>
      <c r="F240" t="str">
        <f t="shared" si="9"/>
        <v>UPDATE [MAP].[T_TRANS_COST_CODE] SET NEW_COST_CODE_ID = '11-1100', NEW_ITEM_ID = 'Contract Item' WHERE LEGACY_COST_CODE_ID = '11-1100' AND DATA_FOLDER_ID = 'sampl'</v>
      </c>
      <c r="G240" t="str">
        <f t="shared" si="10"/>
        <v>-</v>
      </c>
      <c r="H240" t="str">
        <f t="shared" si="11"/>
        <v>-</v>
      </c>
    </row>
    <row r="241" spans="1:8" x14ac:dyDescent="0.25">
      <c r="A241" s="2" t="s">
        <v>1</v>
      </c>
      <c r="B241" s="9" t="s">
        <v>3641</v>
      </c>
      <c r="C241" t="s">
        <v>3996</v>
      </c>
      <c r="D241" s="11" t="s">
        <v>3641</v>
      </c>
      <c r="E241" s="11" t="s">
        <v>4115</v>
      </c>
      <c r="F241" t="str">
        <f t="shared" si="9"/>
        <v>UPDATE [MAP].[T_TRANS_COST_CODE] SET NEW_COST_CODE_ID = '11-1200', NEW_ITEM_ID = 'Contract Item' WHERE LEGACY_COST_CODE_ID = '11-1200' AND DATA_FOLDER_ID = 'sampl'</v>
      </c>
      <c r="G241" t="str">
        <f t="shared" si="10"/>
        <v>-</v>
      </c>
      <c r="H241" t="str">
        <f t="shared" si="11"/>
        <v>-</v>
      </c>
    </row>
    <row r="242" spans="1:8" x14ac:dyDescent="0.25">
      <c r="A242" s="2" t="s">
        <v>1</v>
      </c>
      <c r="B242" s="9" t="s">
        <v>3642</v>
      </c>
      <c r="C242" t="s">
        <v>3997</v>
      </c>
      <c r="D242" s="11" t="s">
        <v>3642</v>
      </c>
      <c r="E242" s="11" t="s">
        <v>4115</v>
      </c>
      <c r="F242" t="str">
        <f t="shared" si="9"/>
        <v>UPDATE [MAP].[T_TRANS_COST_CODE] SET NEW_COST_CODE_ID = '11-1300', NEW_ITEM_ID = 'Contract Item' WHERE LEGACY_COST_CODE_ID = '11-1300' AND DATA_FOLDER_ID = 'sampl'</v>
      </c>
      <c r="G242" t="str">
        <f t="shared" si="10"/>
        <v>-</v>
      </c>
      <c r="H242" t="str">
        <f t="shared" si="11"/>
        <v>-</v>
      </c>
    </row>
    <row r="243" spans="1:8" x14ac:dyDescent="0.25">
      <c r="A243" s="2" t="s">
        <v>1</v>
      </c>
      <c r="B243" s="9" t="s">
        <v>3643</v>
      </c>
      <c r="C243" t="s">
        <v>3998</v>
      </c>
      <c r="D243" s="11" t="s">
        <v>3643</v>
      </c>
      <c r="E243" s="11" t="s">
        <v>4115</v>
      </c>
      <c r="F243" t="str">
        <f t="shared" si="9"/>
        <v>UPDATE [MAP].[T_TRANS_COST_CODE] SET NEW_COST_CODE_ID = '11-1400', NEW_ITEM_ID = 'Contract Item' WHERE LEGACY_COST_CODE_ID = '11-1400' AND DATA_FOLDER_ID = 'sampl'</v>
      </c>
      <c r="G243" t="str">
        <f t="shared" si="10"/>
        <v>-</v>
      </c>
      <c r="H243" t="str">
        <f t="shared" si="11"/>
        <v>-</v>
      </c>
    </row>
    <row r="244" spans="1:8" x14ac:dyDescent="0.25">
      <c r="A244" s="2" t="s">
        <v>1</v>
      </c>
      <c r="B244" s="9" t="s">
        <v>3644</v>
      </c>
      <c r="C244" t="s">
        <v>3999</v>
      </c>
      <c r="D244" s="11" t="s">
        <v>3644</v>
      </c>
      <c r="E244" s="11" t="s">
        <v>4115</v>
      </c>
      <c r="F244" t="str">
        <f t="shared" si="9"/>
        <v>UPDATE [MAP].[T_TRANS_COST_CODE] SET NEW_COST_CODE_ID = '11-1600', NEW_ITEM_ID = 'Contract Item' WHERE LEGACY_COST_CODE_ID = '11-1600' AND DATA_FOLDER_ID = 'sampl'</v>
      </c>
      <c r="G244" t="str">
        <f t="shared" si="10"/>
        <v>-</v>
      </c>
      <c r="H244" t="str">
        <f t="shared" si="11"/>
        <v>-</v>
      </c>
    </row>
    <row r="245" spans="1:8" x14ac:dyDescent="0.25">
      <c r="A245" s="2" t="s">
        <v>1</v>
      </c>
      <c r="B245" s="9" t="s">
        <v>3645</v>
      </c>
      <c r="C245" t="s">
        <v>4000</v>
      </c>
      <c r="D245" s="11" t="s">
        <v>3645</v>
      </c>
      <c r="E245" s="11" t="s">
        <v>4115</v>
      </c>
      <c r="F245" t="str">
        <f t="shared" si="9"/>
        <v>UPDATE [MAP].[T_TRANS_COST_CODE] SET NEW_COST_CODE_ID = '11-1900', NEW_ITEM_ID = 'Contract Item' WHERE LEGACY_COST_CODE_ID = '11-1900' AND DATA_FOLDER_ID = 'sampl'</v>
      </c>
      <c r="G245" t="str">
        <f t="shared" si="10"/>
        <v>-</v>
      </c>
      <c r="H245" t="str">
        <f t="shared" si="11"/>
        <v>-</v>
      </c>
    </row>
    <row r="246" spans="1:8" x14ac:dyDescent="0.25">
      <c r="A246" s="2" t="s">
        <v>1</v>
      </c>
      <c r="B246" s="9" t="s">
        <v>3646</v>
      </c>
      <c r="C246" t="s">
        <v>4001</v>
      </c>
      <c r="D246" s="11" t="s">
        <v>3646</v>
      </c>
      <c r="E246" s="11" t="s">
        <v>4115</v>
      </c>
      <c r="F246" t="str">
        <f t="shared" si="9"/>
        <v>UPDATE [MAP].[T_TRANS_COST_CODE] SET NEW_COST_CODE_ID = '11-2100', NEW_ITEM_ID = 'Contract Item' WHERE LEGACY_COST_CODE_ID = '11-2100' AND DATA_FOLDER_ID = 'sampl'</v>
      </c>
      <c r="G246" t="str">
        <f t="shared" si="10"/>
        <v>-</v>
      </c>
      <c r="H246" t="str">
        <f t="shared" si="11"/>
        <v>-</v>
      </c>
    </row>
    <row r="247" spans="1:8" x14ac:dyDescent="0.25">
      <c r="A247" s="2" t="s">
        <v>1</v>
      </c>
      <c r="B247" s="9" t="s">
        <v>3647</v>
      </c>
      <c r="C247" t="s">
        <v>4002</v>
      </c>
      <c r="D247" s="11" t="s">
        <v>3647</v>
      </c>
      <c r="E247" s="11" t="s">
        <v>4115</v>
      </c>
      <c r="F247" t="str">
        <f t="shared" si="9"/>
        <v>UPDATE [MAP].[T_TRANS_COST_CODE] SET NEW_COST_CODE_ID = '11-2300', NEW_ITEM_ID = 'Contract Item' WHERE LEGACY_COST_CODE_ID = '11-2300' AND DATA_FOLDER_ID = 'sampl'</v>
      </c>
      <c r="G247" t="str">
        <f t="shared" si="10"/>
        <v>-</v>
      </c>
      <c r="H247" t="str">
        <f t="shared" si="11"/>
        <v>-</v>
      </c>
    </row>
    <row r="248" spans="1:8" x14ac:dyDescent="0.25">
      <c r="A248" s="2" t="s">
        <v>1</v>
      </c>
      <c r="B248" s="9" t="s">
        <v>3648</v>
      </c>
      <c r="C248" t="s">
        <v>4003</v>
      </c>
      <c r="D248" s="11" t="s">
        <v>3648</v>
      </c>
      <c r="E248" s="11" t="s">
        <v>4115</v>
      </c>
      <c r="F248" t="str">
        <f t="shared" si="9"/>
        <v>UPDATE [MAP].[T_TRANS_COST_CODE] SET NEW_COST_CODE_ID = '11-2400', NEW_ITEM_ID = 'Contract Item' WHERE LEGACY_COST_CODE_ID = '11-2400' AND DATA_FOLDER_ID = 'sampl'</v>
      </c>
      <c r="G248" t="str">
        <f t="shared" si="10"/>
        <v>-</v>
      </c>
      <c r="H248" t="str">
        <f t="shared" si="11"/>
        <v>-</v>
      </c>
    </row>
    <row r="249" spans="1:8" x14ac:dyDescent="0.25">
      <c r="A249" s="2" t="s">
        <v>1</v>
      </c>
      <c r="B249" s="9" t="s">
        <v>3649</v>
      </c>
      <c r="C249" t="s">
        <v>4004</v>
      </c>
      <c r="D249" s="11" t="s">
        <v>3649</v>
      </c>
      <c r="E249" s="11" t="s">
        <v>4115</v>
      </c>
      <c r="F249" t="str">
        <f t="shared" si="9"/>
        <v>UPDATE [MAP].[T_TRANS_COST_CODE] SET NEW_COST_CODE_ID = '11-2600', NEW_ITEM_ID = 'Contract Item' WHERE LEGACY_COST_CODE_ID = '11-2600' AND DATA_FOLDER_ID = 'sampl'</v>
      </c>
      <c r="G249" t="str">
        <f t="shared" si="10"/>
        <v>-</v>
      </c>
      <c r="H249" t="str">
        <f t="shared" si="11"/>
        <v>-</v>
      </c>
    </row>
    <row r="250" spans="1:8" x14ac:dyDescent="0.25">
      <c r="A250" s="2" t="s">
        <v>1</v>
      </c>
      <c r="B250" s="9" t="s">
        <v>3650</v>
      </c>
      <c r="C250" t="s">
        <v>4005</v>
      </c>
      <c r="D250" s="11" t="s">
        <v>3650</v>
      </c>
      <c r="E250" s="11" t="s">
        <v>4115</v>
      </c>
      <c r="F250" t="str">
        <f t="shared" si="9"/>
        <v>UPDATE [MAP].[T_TRANS_COST_CODE] SET NEW_COST_CODE_ID = '11-2700', NEW_ITEM_ID = 'Contract Item' WHERE LEGACY_COST_CODE_ID = '11-2700' AND DATA_FOLDER_ID = 'sampl'</v>
      </c>
      <c r="G250" t="str">
        <f t="shared" si="10"/>
        <v>-</v>
      </c>
      <c r="H250" t="str">
        <f t="shared" si="11"/>
        <v>-</v>
      </c>
    </row>
    <row r="251" spans="1:8" x14ac:dyDescent="0.25">
      <c r="A251" s="2" t="s">
        <v>1</v>
      </c>
      <c r="B251" s="9" t="s">
        <v>3651</v>
      </c>
      <c r="C251" t="s">
        <v>4006</v>
      </c>
      <c r="D251" s="11" t="s">
        <v>3651</v>
      </c>
      <c r="E251" s="11" t="s">
        <v>4115</v>
      </c>
      <c r="F251" t="str">
        <f t="shared" si="9"/>
        <v>UPDATE [MAP].[T_TRANS_COST_CODE] SET NEW_COST_CODE_ID = '11-3100', NEW_ITEM_ID = 'Contract Item' WHERE LEGACY_COST_CODE_ID = '11-3100' AND DATA_FOLDER_ID = 'sampl'</v>
      </c>
      <c r="G251" t="str">
        <f t="shared" si="10"/>
        <v>-</v>
      </c>
      <c r="H251" t="str">
        <f t="shared" si="11"/>
        <v>-</v>
      </c>
    </row>
    <row r="252" spans="1:8" x14ac:dyDescent="0.25">
      <c r="A252" s="2" t="s">
        <v>1</v>
      </c>
      <c r="B252" s="9" t="s">
        <v>3652</v>
      </c>
      <c r="C252" t="s">
        <v>4007</v>
      </c>
      <c r="D252" s="11" t="s">
        <v>3652</v>
      </c>
      <c r="E252" s="11" t="s">
        <v>4115</v>
      </c>
      <c r="F252" t="str">
        <f t="shared" si="9"/>
        <v>UPDATE [MAP].[T_TRANS_COST_CODE] SET NEW_COST_CODE_ID = '11-3300', NEW_ITEM_ID = 'Contract Item' WHERE LEGACY_COST_CODE_ID = '11-3300' AND DATA_FOLDER_ID = 'sampl'</v>
      </c>
      <c r="G252" t="str">
        <f t="shared" si="10"/>
        <v>-</v>
      </c>
      <c r="H252" t="str">
        <f t="shared" si="11"/>
        <v>-</v>
      </c>
    </row>
    <row r="253" spans="1:8" x14ac:dyDescent="0.25">
      <c r="A253" s="2" t="s">
        <v>1</v>
      </c>
      <c r="B253" s="9" t="s">
        <v>3653</v>
      </c>
      <c r="C253" t="s">
        <v>4008</v>
      </c>
      <c r="D253" s="11" t="s">
        <v>3653</v>
      </c>
      <c r="E253" s="11" t="s">
        <v>4115</v>
      </c>
      <c r="F253" t="str">
        <f t="shared" si="9"/>
        <v>UPDATE [MAP].[T_TRANS_COST_CODE] SET NEW_COST_CODE_ID = '11-4000', NEW_ITEM_ID = 'Contract Item' WHERE LEGACY_COST_CODE_ID = '11-4000' AND DATA_FOLDER_ID = 'sampl'</v>
      </c>
      <c r="G253" t="str">
        <f t="shared" si="10"/>
        <v>-</v>
      </c>
      <c r="H253" t="str">
        <f t="shared" si="11"/>
        <v>-</v>
      </c>
    </row>
    <row r="254" spans="1:8" x14ac:dyDescent="0.25">
      <c r="A254" s="2" t="s">
        <v>1</v>
      </c>
      <c r="B254" s="9" t="s">
        <v>3654</v>
      </c>
      <c r="C254" t="s">
        <v>4009</v>
      </c>
      <c r="D254" s="11" t="s">
        <v>3654</v>
      </c>
      <c r="E254" s="11" t="s">
        <v>4115</v>
      </c>
      <c r="F254" t="str">
        <f t="shared" si="9"/>
        <v>UPDATE [MAP].[T_TRANS_COST_CODE] SET NEW_COST_CODE_ID = '11-5200', NEW_ITEM_ID = 'Contract Item' WHERE LEGACY_COST_CODE_ID = '11-5200' AND DATA_FOLDER_ID = 'sampl'</v>
      </c>
      <c r="G254" t="str">
        <f t="shared" si="10"/>
        <v>-</v>
      </c>
      <c r="H254" t="str">
        <f t="shared" si="11"/>
        <v>-</v>
      </c>
    </row>
    <row r="255" spans="1:8" x14ac:dyDescent="0.25">
      <c r="A255" s="2" t="s">
        <v>1</v>
      </c>
      <c r="B255" s="9" t="s">
        <v>3655</v>
      </c>
      <c r="C255" t="s">
        <v>4010</v>
      </c>
      <c r="D255" s="11" t="s">
        <v>3655</v>
      </c>
      <c r="E255" s="11" t="s">
        <v>4115</v>
      </c>
      <c r="F255" t="str">
        <f t="shared" si="9"/>
        <v>UPDATE [MAP].[T_TRANS_COST_CODE] SET NEW_COST_CODE_ID = '11-5300', NEW_ITEM_ID = 'Contract Item' WHERE LEGACY_COST_CODE_ID = '11-5300' AND DATA_FOLDER_ID = 'sampl'</v>
      </c>
      <c r="G255" t="str">
        <f t="shared" si="10"/>
        <v>-</v>
      </c>
      <c r="H255" t="str">
        <f t="shared" si="11"/>
        <v>-</v>
      </c>
    </row>
    <row r="256" spans="1:8" x14ac:dyDescent="0.25">
      <c r="A256" s="2" t="s">
        <v>1</v>
      </c>
      <c r="B256" s="9" t="s">
        <v>3656</v>
      </c>
      <c r="C256" t="s">
        <v>4011</v>
      </c>
      <c r="D256" s="11" t="s">
        <v>3656</v>
      </c>
      <c r="E256" s="11" t="s">
        <v>4115</v>
      </c>
      <c r="F256" t="str">
        <f t="shared" si="9"/>
        <v>UPDATE [MAP].[T_TRANS_COST_CODE] SET NEW_COST_CODE_ID = '11-6100', NEW_ITEM_ID = 'Contract Item' WHERE LEGACY_COST_CODE_ID = '11-6100' AND DATA_FOLDER_ID = 'sampl'</v>
      </c>
      <c r="G256" t="str">
        <f t="shared" si="10"/>
        <v>-</v>
      </c>
      <c r="H256" t="str">
        <f t="shared" si="11"/>
        <v>-</v>
      </c>
    </row>
    <row r="257" spans="1:8" x14ac:dyDescent="0.25">
      <c r="A257" s="2" t="s">
        <v>1</v>
      </c>
      <c r="B257" s="9" t="s">
        <v>3657</v>
      </c>
      <c r="C257" t="s">
        <v>4012</v>
      </c>
      <c r="D257" s="11" t="s">
        <v>3657</v>
      </c>
      <c r="E257" s="11" t="s">
        <v>4115</v>
      </c>
      <c r="F257" t="str">
        <f t="shared" si="9"/>
        <v>UPDATE [MAP].[T_TRANS_COST_CODE] SET NEW_COST_CODE_ID = '11-6500', NEW_ITEM_ID = 'Contract Item' WHERE LEGACY_COST_CODE_ID = '11-6500' AND DATA_FOLDER_ID = 'sampl'</v>
      </c>
      <c r="G257" t="str">
        <f t="shared" si="10"/>
        <v>-</v>
      </c>
      <c r="H257" t="str">
        <f t="shared" si="11"/>
        <v>-</v>
      </c>
    </row>
    <row r="258" spans="1:8" x14ac:dyDescent="0.25">
      <c r="A258" s="2" t="s">
        <v>1</v>
      </c>
      <c r="B258" s="9" t="s">
        <v>3658</v>
      </c>
      <c r="C258" t="s">
        <v>4013</v>
      </c>
      <c r="D258" s="11" t="s">
        <v>3658</v>
      </c>
      <c r="E258" s="11" t="s">
        <v>4115</v>
      </c>
      <c r="F258" t="str">
        <f t="shared" si="9"/>
        <v>UPDATE [MAP].[T_TRANS_COST_CODE] SET NEW_COST_CODE_ID = '11-6800', NEW_ITEM_ID = 'Contract Item' WHERE LEGACY_COST_CODE_ID = '11-6800' AND DATA_FOLDER_ID = 'sampl'</v>
      </c>
      <c r="G258" t="str">
        <f t="shared" si="10"/>
        <v>-</v>
      </c>
      <c r="H258" t="str">
        <f t="shared" si="11"/>
        <v>-</v>
      </c>
    </row>
    <row r="259" spans="1:8" x14ac:dyDescent="0.25">
      <c r="A259" s="2" t="s">
        <v>1</v>
      </c>
      <c r="B259" s="9" t="s">
        <v>3659</v>
      </c>
      <c r="C259" t="s">
        <v>4014</v>
      </c>
      <c r="D259" s="11" t="s">
        <v>3659</v>
      </c>
      <c r="E259" s="11" t="s">
        <v>4115</v>
      </c>
      <c r="F259" t="str">
        <f t="shared" si="9"/>
        <v>UPDATE [MAP].[T_TRANS_COST_CODE] SET NEW_COST_CODE_ID = '11-7000', NEW_ITEM_ID = 'Contract Item' WHERE LEGACY_COST_CODE_ID = '11-7000' AND DATA_FOLDER_ID = 'sampl'</v>
      </c>
      <c r="G259" t="str">
        <f t="shared" si="10"/>
        <v>-</v>
      </c>
      <c r="H259" t="str">
        <f t="shared" si="11"/>
        <v>-</v>
      </c>
    </row>
    <row r="260" spans="1:8" x14ac:dyDescent="0.25">
      <c r="A260" s="2" t="s">
        <v>1</v>
      </c>
      <c r="B260" s="9" t="s">
        <v>3660</v>
      </c>
      <c r="C260" t="s">
        <v>4015</v>
      </c>
      <c r="D260" s="11" t="s">
        <v>3660</v>
      </c>
      <c r="E260" s="11" t="s">
        <v>4115</v>
      </c>
      <c r="F260" t="str">
        <f t="shared" si="9"/>
        <v>UPDATE [MAP].[T_TRANS_COST_CODE] SET NEW_COST_CODE_ID = '11-8000', NEW_ITEM_ID = 'Contract Item' WHERE LEGACY_COST_CODE_ID = '11-8000' AND DATA_FOLDER_ID = 'sampl'</v>
      </c>
      <c r="G260" t="str">
        <f t="shared" si="10"/>
        <v>-</v>
      </c>
      <c r="H260" t="str">
        <f t="shared" si="11"/>
        <v>-</v>
      </c>
    </row>
    <row r="261" spans="1:8" x14ac:dyDescent="0.25">
      <c r="A261" s="2" t="s">
        <v>1</v>
      </c>
      <c r="B261" s="9" t="s">
        <v>3661</v>
      </c>
      <c r="C261" t="s">
        <v>4016</v>
      </c>
      <c r="D261" s="11" t="s">
        <v>3661</v>
      </c>
      <c r="E261" s="11" t="s">
        <v>4114</v>
      </c>
      <c r="F261" t="str">
        <f t="shared" ref="F261:F324" si="12">"UPDATE "&amp;F$3&amp;" SET NEW_COST_CODE_ID = '"&amp;D261&amp;"', NEW_ITEM_ID = '"&amp;E261&amp;"' WHERE LEGACY_COST_CODE_ID = '"&amp;B261&amp;"' AND DATA_FOLDER_ID = '"&amp;A261&amp;"'"</f>
        <v>UPDATE [MAP].[T_TRANS_COST_CODE] SET NEW_COST_CODE_ID = '12-0000', NEW_ITEM_ID = ' ' WHERE LEGACY_COST_CODE_ID = '12-0000' AND DATA_FOLDER_ID = 'sampl'</v>
      </c>
      <c r="G261" t="str">
        <f t="shared" ref="G261:G324" si="13">IF(B261&lt;&gt;D261,"Changed","-")</f>
        <v>-</v>
      </c>
      <c r="H261" t="str">
        <f t="shared" ref="H261:H324" si="14">IF(B261="","Hide","-")</f>
        <v>-</v>
      </c>
    </row>
    <row r="262" spans="1:8" x14ac:dyDescent="0.25">
      <c r="A262" s="2" t="s">
        <v>1</v>
      </c>
      <c r="B262" s="9" t="s">
        <v>3662</v>
      </c>
      <c r="C262" t="s">
        <v>4017</v>
      </c>
      <c r="D262" s="11" t="s">
        <v>3662</v>
      </c>
      <c r="E262" s="11" t="s">
        <v>4115</v>
      </c>
      <c r="F262" t="str">
        <f t="shared" si="12"/>
        <v>UPDATE [MAP].[T_TRANS_COST_CODE] SET NEW_COST_CODE_ID = '12-2000', NEW_ITEM_ID = 'Contract Item' WHERE LEGACY_COST_CODE_ID = '12-2000' AND DATA_FOLDER_ID = 'sampl'</v>
      </c>
      <c r="G262" t="str">
        <f t="shared" si="13"/>
        <v>-</v>
      </c>
      <c r="H262" t="str">
        <f t="shared" si="14"/>
        <v>-</v>
      </c>
    </row>
    <row r="263" spans="1:8" x14ac:dyDescent="0.25">
      <c r="A263" s="2" t="s">
        <v>1</v>
      </c>
      <c r="B263" s="9" t="s">
        <v>3663</v>
      </c>
      <c r="C263" t="s">
        <v>4018</v>
      </c>
      <c r="D263" s="11" t="s">
        <v>3663</v>
      </c>
      <c r="E263" s="11" t="s">
        <v>4115</v>
      </c>
      <c r="F263" t="str">
        <f t="shared" si="12"/>
        <v>UPDATE [MAP].[T_TRANS_COST_CODE] SET NEW_COST_CODE_ID = '12-3000', NEW_ITEM_ID = 'Contract Item' WHERE LEGACY_COST_CODE_ID = '12-3000' AND DATA_FOLDER_ID = 'sampl'</v>
      </c>
      <c r="G263" t="str">
        <f t="shared" si="13"/>
        <v>-</v>
      </c>
      <c r="H263" t="str">
        <f t="shared" si="14"/>
        <v>-</v>
      </c>
    </row>
    <row r="264" spans="1:8" x14ac:dyDescent="0.25">
      <c r="A264" s="2" t="s">
        <v>1</v>
      </c>
      <c r="B264" s="9" t="s">
        <v>3664</v>
      </c>
      <c r="C264" t="s">
        <v>4019</v>
      </c>
      <c r="D264" s="11" t="s">
        <v>3664</v>
      </c>
      <c r="E264" s="11" t="s">
        <v>4115</v>
      </c>
      <c r="F264" t="str">
        <f t="shared" si="12"/>
        <v>UPDATE [MAP].[T_TRANS_COST_CODE] SET NEW_COST_CODE_ID = '12-3600', NEW_ITEM_ID = 'Contract Item' WHERE LEGACY_COST_CODE_ID = '12-3600' AND DATA_FOLDER_ID = 'sampl'</v>
      </c>
      <c r="G264" t="str">
        <f t="shared" si="13"/>
        <v>-</v>
      </c>
      <c r="H264" t="str">
        <f t="shared" si="14"/>
        <v>-</v>
      </c>
    </row>
    <row r="265" spans="1:8" x14ac:dyDescent="0.25">
      <c r="A265" s="2" t="s">
        <v>1</v>
      </c>
      <c r="B265" s="9" t="s">
        <v>3665</v>
      </c>
      <c r="C265" t="s">
        <v>4020</v>
      </c>
      <c r="D265" s="11" t="s">
        <v>3665</v>
      </c>
      <c r="E265" s="11" t="s">
        <v>4115</v>
      </c>
      <c r="F265" t="str">
        <f t="shared" si="12"/>
        <v>UPDATE [MAP].[T_TRANS_COST_CODE] SET NEW_COST_CODE_ID = '12-4800', NEW_ITEM_ID = 'Contract Item' WHERE LEGACY_COST_CODE_ID = '12-4800' AND DATA_FOLDER_ID = 'sampl'</v>
      </c>
      <c r="G265" t="str">
        <f t="shared" si="13"/>
        <v>-</v>
      </c>
      <c r="H265" t="str">
        <f t="shared" si="14"/>
        <v>-</v>
      </c>
    </row>
    <row r="266" spans="1:8" x14ac:dyDescent="0.25">
      <c r="A266" s="2" t="s">
        <v>1</v>
      </c>
      <c r="B266" s="9" t="s">
        <v>3666</v>
      </c>
      <c r="C266" t="s">
        <v>4021</v>
      </c>
      <c r="D266" s="11" t="s">
        <v>3666</v>
      </c>
      <c r="E266" s="11" t="s">
        <v>4115</v>
      </c>
      <c r="F266" t="str">
        <f t="shared" si="12"/>
        <v>UPDATE [MAP].[T_TRANS_COST_CODE] SET NEW_COST_CODE_ID = '12-5000', NEW_ITEM_ID = 'Contract Item' WHERE LEGACY_COST_CODE_ID = '12-5000' AND DATA_FOLDER_ID = 'sampl'</v>
      </c>
      <c r="G266" t="str">
        <f t="shared" si="13"/>
        <v>-</v>
      </c>
      <c r="H266" t="str">
        <f t="shared" si="14"/>
        <v>-</v>
      </c>
    </row>
    <row r="267" spans="1:8" x14ac:dyDescent="0.25">
      <c r="A267" s="2" t="s">
        <v>1</v>
      </c>
      <c r="B267" s="9" t="s">
        <v>3667</v>
      </c>
      <c r="C267" t="s">
        <v>4022</v>
      </c>
      <c r="D267" s="11" t="s">
        <v>3667</v>
      </c>
      <c r="E267" s="11" t="s">
        <v>4115</v>
      </c>
      <c r="F267" t="str">
        <f t="shared" si="12"/>
        <v>UPDATE [MAP].[T_TRANS_COST_CODE] SET NEW_COST_CODE_ID = '12-6000', NEW_ITEM_ID = 'Contract Item' WHERE LEGACY_COST_CODE_ID = '12-6000' AND DATA_FOLDER_ID = 'sampl'</v>
      </c>
      <c r="G267" t="str">
        <f t="shared" si="13"/>
        <v>-</v>
      </c>
      <c r="H267" t="str">
        <f t="shared" si="14"/>
        <v>-</v>
      </c>
    </row>
    <row r="268" spans="1:8" x14ac:dyDescent="0.25">
      <c r="A268" s="2" t="s">
        <v>1</v>
      </c>
      <c r="B268" s="9" t="s">
        <v>3668</v>
      </c>
      <c r="C268" t="s">
        <v>4023</v>
      </c>
      <c r="D268" s="11" t="s">
        <v>3668</v>
      </c>
      <c r="E268" s="11" t="s">
        <v>4115</v>
      </c>
      <c r="F268" t="str">
        <f t="shared" si="12"/>
        <v>UPDATE [MAP].[T_TRANS_COST_CODE] SET NEW_COST_CODE_ID = '12-9300', NEW_ITEM_ID = 'Contract Item' WHERE LEGACY_COST_CODE_ID = '12-9300' AND DATA_FOLDER_ID = 'sampl'</v>
      </c>
      <c r="G268" t="str">
        <f t="shared" si="13"/>
        <v>-</v>
      </c>
      <c r="H268" t="str">
        <f t="shared" si="14"/>
        <v>-</v>
      </c>
    </row>
    <row r="269" spans="1:8" x14ac:dyDescent="0.25">
      <c r="A269" s="2" t="s">
        <v>1</v>
      </c>
      <c r="B269" s="9" t="s">
        <v>3669</v>
      </c>
      <c r="C269" t="s">
        <v>4024</v>
      </c>
      <c r="D269" s="11" t="s">
        <v>3669</v>
      </c>
      <c r="E269" s="11" t="s">
        <v>4114</v>
      </c>
      <c r="F269" t="str">
        <f t="shared" si="12"/>
        <v>UPDATE [MAP].[T_TRANS_COST_CODE] SET NEW_COST_CODE_ID = '13-0000', NEW_ITEM_ID = ' ' WHERE LEGACY_COST_CODE_ID = '13-0000' AND DATA_FOLDER_ID = 'sampl'</v>
      </c>
      <c r="G269" t="str">
        <f t="shared" si="13"/>
        <v>-</v>
      </c>
      <c r="H269" t="str">
        <f t="shared" si="14"/>
        <v>-</v>
      </c>
    </row>
    <row r="270" spans="1:8" x14ac:dyDescent="0.25">
      <c r="A270" s="2" t="s">
        <v>1</v>
      </c>
      <c r="B270" s="9" t="s">
        <v>3670</v>
      </c>
      <c r="C270" t="s">
        <v>4025</v>
      </c>
      <c r="D270" s="11" t="s">
        <v>3670</v>
      </c>
      <c r="E270" s="11" t="s">
        <v>4115</v>
      </c>
      <c r="F270" t="str">
        <f t="shared" si="12"/>
        <v>UPDATE [MAP].[T_TRANS_COST_CODE] SET NEW_COST_CODE_ID = '13-1100', NEW_ITEM_ID = 'Contract Item' WHERE LEGACY_COST_CODE_ID = '13-1100' AND DATA_FOLDER_ID = 'sampl'</v>
      </c>
      <c r="G270" t="str">
        <f t="shared" si="13"/>
        <v>-</v>
      </c>
      <c r="H270" t="str">
        <f t="shared" si="14"/>
        <v>-</v>
      </c>
    </row>
    <row r="271" spans="1:8" x14ac:dyDescent="0.25">
      <c r="A271" s="2" t="s">
        <v>1</v>
      </c>
      <c r="B271" s="9" t="s">
        <v>3671</v>
      </c>
      <c r="C271" t="s">
        <v>4026</v>
      </c>
      <c r="D271" s="11" t="s">
        <v>3671</v>
      </c>
      <c r="E271" s="11" t="s">
        <v>4115</v>
      </c>
      <c r="F271" t="str">
        <f t="shared" si="12"/>
        <v>UPDATE [MAP].[T_TRANS_COST_CODE] SET NEW_COST_CODE_ID = '13-2100', NEW_ITEM_ID = 'Contract Item' WHERE LEGACY_COST_CODE_ID = '13-2100' AND DATA_FOLDER_ID = 'sampl'</v>
      </c>
      <c r="G271" t="str">
        <f t="shared" si="13"/>
        <v>-</v>
      </c>
      <c r="H271" t="str">
        <f t="shared" si="14"/>
        <v>-</v>
      </c>
    </row>
    <row r="272" spans="1:8" x14ac:dyDescent="0.25">
      <c r="A272" s="2" t="s">
        <v>1</v>
      </c>
      <c r="B272" s="9" t="s">
        <v>3672</v>
      </c>
      <c r="C272" t="s">
        <v>4027</v>
      </c>
      <c r="D272" s="11" t="s">
        <v>3672</v>
      </c>
      <c r="E272" s="11" t="s">
        <v>4115</v>
      </c>
      <c r="F272" t="str">
        <f t="shared" si="12"/>
        <v>UPDATE [MAP].[T_TRANS_COST_CODE] SET NEW_COST_CODE_ID = '13-3419', NEW_ITEM_ID = 'Contract Item' WHERE LEGACY_COST_CODE_ID = '13-3419' AND DATA_FOLDER_ID = 'sampl'</v>
      </c>
      <c r="G272" t="str">
        <f t="shared" si="13"/>
        <v>-</v>
      </c>
      <c r="H272" t="str">
        <f t="shared" si="14"/>
        <v>-</v>
      </c>
    </row>
    <row r="273" spans="1:8" x14ac:dyDescent="0.25">
      <c r="A273" s="2" t="s">
        <v>1</v>
      </c>
      <c r="B273" s="9" t="s">
        <v>3673</v>
      </c>
      <c r="C273" t="s">
        <v>4028</v>
      </c>
      <c r="D273" s="11" t="s">
        <v>3673</v>
      </c>
      <c r="E273" s="11" t="s">
        <v>4115</v>
      </c>
      <c r="F273" t="str">
        <f t="shared" si="12"/>
        <v>UPDATE [MAP].[T_TRANS_COST_CODE] SET NEW_COST_CODE_ID = '13-4200', NEW_ITEM_ID = 'Contract Item' WHERE LEGACY_COST_CODE_ID = '13-4200' AND DATA_FOLDER_ID = 'sampl'</v>
      </c>
      <c r="G273" t="str">
        <f t="shared" si="13"/>
        <v>-</v>
      </c>
      <c r="H273" t="str">
        <f t="shared" si="14"/>
        <v>-</v>
      </c>
    </row>
    <row r="274" spans="1:8" x14ac:dyDescent="0.25">
      <c r="A274" s="2" t="s">
        <v>1</v>
      </c>
      <c r="B274" s="9" t="s">
        <v>3674</v>
      </c>
      <c r="C274" t="s">
        <v>4029</v>
      </c>
      <c r="D274" s="11" t="s">
        <v>3674</v>
      </c>
      <c r="E274" s="11" t="s">
        <v>4115</v>
      </c>
      <c r="F274" t="str">
        <f t="shared" si="12"/>
        <v>UPDATE [MAP].[T_TRANS_COST_CODE] SET NEW_COST_CODE_ID = '13-4900', NEW_ITEM_ID = 'Contract Item' WHERE LEGACY_COST_CODE_ID = '13-4900' AND DATA_FOLDER_ID = 'sampl'</v>
      </c>
      <c r="G274" t="str">
        <f t="shared" si="13"/>
        <v>-</v>
      </c>
      <c r="H274" t="str">
        <f t="shared" si="14"/>
        <v>-</v>
      </c>
    </row>
    <row r="275" spans="1:8" x14ac:dyDescent="0.25">
      <c r="A275" s="2" t="s">
        <v>1</v>
      </c>
      <c r="B275" s="9" t="s">
        <v>3675</v>
      </c>
      <c r="C275" t="s">
        <v>4030</v>
      </c>
      <c r="D275" s="11" t="s">
        <v>3675</v>
      </c>
      <c r="E275" s="11" t="s">
        <v>4114</v>
      </c>
      <c r="F275" t="str">
        <f t="shared" si="12"/>
        <v>UPDATE [MAP].[T_TRANS_COST_CODE] SET NEW_COST_CODE_ID = '14-0000', NEW_ITEM_ID = ' ' WHERE LEGACY_COST_CODE_ID = '14-0000' AND DATA_FOLDER_ID = 'sampl'</v>
      </c>
      <c r="G275" t="str">
        <f t="shared" si="13"/>
        <v>-</v>
      </c>
      <c r="H275" t="str">
        <f t="shared" si="14"/>
        <v>-</v>
      </c>
    </row>
    <row r="276" spans="1:8" x14ac:dyDescent="0.25">
      <c r="A276" s="2" t="s">
        <v>1</v>
      </c>
      <c r="B276" s="9" t="s">
        <v>3676</v>
      </c>
      <c r="C276" t="s">
        <v>4031</v>
      </c>
      <c r="D276" s="11" t="s">
        <v>3676</v>
      </c>
      <c r="E276" s="11" t="s">
        <v>4115</v>
      </c>
      <c r="F276" t="str">
        <f t="shared" si="12"/>
        <v>UPDATE [MAP].[T_TRANS_COST_CODE] SET NEW_COST_CODE_ID = '14-1000', NEW_ITEM_ID = 'Contract Item' WHERE LEGACY_COST_CODE_ID = '14-1000' AND DATA_FOLDER_ID = 'sampl'</v>
      </c>
      <c r="G276" t="str">
        <f t="shared" si="13"/>
        <v>-</v>
      </c>
      <c r="H276" t="str">
        <f t="shared" si="14"/>
        <v>-</v>
      </c>
    </row>
    <row r="277" spans="1:8" x14ac:dyDescent="0.25">
      <c r="A277" s="2" t="s">
        <v>1</v>
      </c>
      <c r="B277" s="9" t="s">
        <v>3677</v>
      </c>
      <c r="C277" t="s">
        <v>4032</v>
      </c>
      <c r="D277" s="11" t="s">
        <v>3677</v>
      </c>
      <c r="E277" s="11" t="s">
        <v>4115</v>
      </c>
      <c r="F277" t="str">
        <f t="shared" si="12"/>
        <v>UPDATE [MAP].[T_TRANS_COST_CODE] SET NEW_COST_CODE_ID = '14-2000', NEW_ITEM_ID = 'Contract Item' WHERE LEGACY_COST_CODE_ID = '14-2000' AND DATA_FOLDER_ID = 'sampl'</v>
      </c>
      <c r="G277" t="str">
        <f t="shared" si="13"/>
        <v>-</v>
      </c>
      <c r="H277" t="str">
        <f t="shared" si="14"/>
        <v>-</v>
      </c>
    </row>
    <row r="278" spans="1:8" x14ac:dyDescent="0.25">
      <c r="A278" s="2" t="s">
        <v>1</v>
      </c>
      <c r="B278" s="9" t="s">
        <v>3678</v>
      </c>
      <c r="C278" t="s">
        <v>4033</v>
      </c>
      <c r="D278" s="11" t="s">
        <v>3678</v>
      </c>
      <c r="E278" s="11" t="s">
        <v>4115</v>
      </c>
      <c r="F278" t="str">
        <f t="shared" si="12"/>
        <v>UPDATE [MAP].[T_TRANS_COST_CODE] SET NEW_COST_CODE_ID = '14-3000', NEW_ITEM_ID = 'Contract Item' WHERE LEGACY_COST_CODE_ID = '14-3000' AND DATA_FOLDER_ID = 'sampl'</v>
      </c>
      <c r="G278" t="str">
        <f t="shared" si="13"/>
        <v>-</v>
      </c>
      <c r="H278" t="str">
        <f t="shared" si="14"/>
        <v>-</v>
      </c>
    </row>
    <row r="279" spans="1:8" x14ac:dyDescent="0.25">
      <c r="A279" s="2" t="s">
        <v>1</v>
      </c>
      <c r="B279" s="9" t="s">
        <v>3679</v>
      </c>
      <c r="C279" t="s">
        <v>4034</v>
      </c>
      <c r="D279" s="11" t="s">
        <v>3679</v>
      </c>
      <c r="E279" s="11" t="s">
        <v>4115</v>
      </c>
      <c r="F279" t="str">
        <f t="shared" si="12"/>
        <v>UPDATE [MAP].[T_TRANS_COST_CODE] SET NEW_COST_CODE_ID = '14-4000', NEW_ITEM_ID = 'Contract Item' WHERE LEGACY_COST_CODE_ID = '14-4000' AND DATA_FOLDER_ID = 'sampl'</v>
      </c>
      <c r="G279" t="str">
        <f t="shared" si="13"/>
        <v>-</v>
      </c>
      <c r="H279" t="str">
        <f t="shared" si="14"/>
        <v>-</v>
      </c>
    </row>
    <row r="280" spans="1:8" x14ac:dyDescent="0.25">
      <c r="A280" s="2" t="s">
        <v>1</v>
      </c>
      <c r="B280" s="9" t="s">
        <v>3680</v>
      </c>
      <c r="C280" t="s">
        <v>4035</v>
      </c>
      <c r="D280" s="11" t="s">
        <v>3680</v>
      </c>
      <c r="E280" s="11" t="s">
        <v>4115</v>
      </c>
      <c r="F280" t="str">
        <f t="shared" si="12"/>
        <v>UPDATE [MAP].[T_TRANS_COST_CODE] SET NEW_COST_CODE_ID = '14-5000', NEW_ITEM_ID = 'Contract Item' WHERE LEGACY_COST_CODE_ID = '14-5000' AND DATA_FOLDER_ID = 'sampl'</v>
      </c>
      <c r="G280" t="str">
        <f t="shared" si="13"/>
        <v>-</v>
      </c>
      <c r="H280" t="str">
        <f t="shared" si="14"/>
        <v>-</v>
      </c>
    </row>
    <row r="281" spans="1:8" x14ac:dyDescent="0.25">
      <c r="A281" s="2" t="s">
        <v>1</v>
      </c>
      <c r="B281" s="9" t="s">
        <v>3681</v>
      </c>
      <c r="C281" t="s">
        <v>4036</v>
      </c>
      <c r="D281" s="11" t="s">
        <v>3681</v>
      </c>
      <c r="E281" s="11" t="s">
        <v>4115</v>
      </c>
      <c r="F281" t="str">
        <f t="shared" si="12"/>
        <v>UPDATE [MAP].[T_TRANS_COST_CODE] SET NEW_COST_CODE_ID = '14-9000', NEW_ITEM_ID = 'Contract Item' WHERE LEGACY_COST_CODE_ID = '14-9000' AND DATA_FOLDER_ID = 'sampl'</v>
      </c>
      <c r="G281" t="str">
        <f t="shared" si="13"/>
        <v>-</v>
      </c>
      <c r="H281" t="str">
        <f t="shared" si="14"/>
        <v>-</v>
      </c>
    </row>
    <row r="282" spans="1:8" x14ac:dyDescent="0.25">
      <c r="A282" s="2" t="s">
        <v>1</v>
      </c>
      <c r="B282" s="9" t="s">
        <v>3682</v>
      </c>
      <c r="C282" t="s">
        <v>4037</v>
      </c>
      <c r="D282" s="11" t="s">
        <v>3682</v>
      </c>
      <c r="E282" s="11" t="s">
        <v>4114</v>
      </c>
      <c r="F282" t="str">
        <f t="shared" si="12"/>
        <v>UPDATE [MAP].[T_TRANS_COST_CODE] SET NEW_COST_CODE_ID = '21-0000', NEW_ITEM_ID = ' ' WHERE LEGACY_COST_CODE_ID = '21-0000' AND DATA_FOLDER_ID = 'sampl'</v>
      </c>
      <c r="G282" t="str">
        <f t="shared" si="13"/>
        <v>-</v>
      </c>
      <c r="H282" t="str">
        <f t="shared" si="14"/>
        <v>-</v>
      </c>
    </row>
    <row r="283" spans="1:8" x14ac:dyDescent="0.25">
      <c r="A283" s="2" t="s">
        <v>1</v>
      </c>
      <c r="B283" s="9" t="s">
        <v>3683</v>
      </c>
      <c r="C283" t="s">
        <v>4038</v>
      </c>
      <c r="D283" s="11" t="s">
        <v>3683</v>
      </c>
      <c r="E283" s="11" t="s">
        <v>4115</v>
      </c>
      <c r="F283" t="str">
        <f t="shared" si="12"/>
        <v>UPDATE [MAP].[T_TRANS_COST_CODE] SET NEW_COST_CODE_ID = '21-1300', NEW_ITEM_ID = 'Contract Item' WHERE LEGACY_COST_CODE_ID = '21-1300' AND DATA_FOLDER_ID = 'sampl'</v>
      </c>
      <c r="G283" t="str">
        <f t="shared" si="13"/>
        <v>-</v>
      </c>
      <c r="H283" t="str">
        <f t="shared" si="14"/>
        <v>-</v>
      </c>
    </row>
    <row r="284" spans="1:8" x14ac:dyDescent="0.25">
      <c r="A284" s="2" t="s">
        <v>1</v>
      </c>
      <c r="B284" s="9" t="s">
        <v>3684</v>
      </c>
      <c r="C284" t="s">
        <v>4039</v>
      </c>
      <c r="D284" s="11" t="s">
        <v>3684</v>
      </c>
      <c r="E284" s="11" t="s">
        <v>4114</v>
      </c>
      <c r="F284" t="str">
        <f t="shared" si="12"/>
        <v>UPDATE [MAP].[T_TRANS_COST_CODE] SET NEW_COST_CODE_ID = '22-0000', NEW_ITEM_ID = ' ' WHERE LEGACY_COST_CODE_ID = '22-0000' AND DATA_FOLDER_ID = 'sampl'</v>
      </c>
      <c r="G284" t="str">
        <f t="shared" si="13"/>
        <v>-</v>
      </c>
      <c r="H284" t="str">
        <f t="shared" si="14"/>
        <v>-</v>
      </c>
    </row>
    <row r="285" spans="1:8" x14ac:dyDescent="0.25">
      <c r="A285" s="2" t="s">
        <v>1</v>
      </c>
      <c r="B285" s="9" t="s">
        <v>3685</v>
      </c>
      <c r="C285" t="s">
        <v>4040</v>
      </c>
      <c r="D285" s="11" t="s">
        <v>3685</v>
      </c>
      <c r="E285" s="11" t="s">
        <v>4115</v>
      </c>
      <c r="F285" t="str">
        <f t="shared" si="12"/>
        <v>UPDATE [MAP].[T_TRANS_COST_CODE] SET NEW_COST_CODE_ID = '22-1400', NEW_ITEM_ID = 'Contract Item' WHERE LEGACY_COST_CODE_ID = '22-1400' AND DATA_FOLDER_ID = 'sampl'</v>
      </c>
      <c r="G285" t="str">
        <f t="shared" si="13"/>
        <v>-</v>
      </c>
      <c r="H285" t="str">
        <f t="shared" si="14"/>
        <v>-</v>
      </c>
    </row>
    <row r="286" spans="1:8" x14ac:dyDescent="0.25">
      <c r="A286" s="2" t="s">
        <v>1</v>
      </c>
      <c r="B286" s="9" t="s">
        <v>3686</v>
      </c>
      <c r="C286" t="s">
        <v>4041</v>
      </c>
      <c r="D286" s="11" t="s">
        <v>3686</v>
      </c>
      <c r="E286" s="11" t="s">
        <v>4115</v>
      </c>
      <c r="F286" t="str">
        <f t="shared" si="12"/>
        <v>UPDATE [MAP].[T_TRANS_COST_CODE] SET NEW_COST_CODE_ID = '22-1500', NEW_ITEM_ID = 'Contract Item' WHERE LEGACY_COST_CODE_ID = '22-1500' AND DATA_FOLDER_ID = 'sampl'</v>
      </c>
      <c r="G286" t="str">
        <f t="shared" si="13"/>
        <v>-</v>
      </c>
      <c r="H286" t="str">
        <f t="shared" si="14"/>
        <v>-</v>
      </c>
    </row>
    <row r="287" spans="1:8" x14ac:dyDescent="0.25">
      <c r="A287" s="2" t="s">
        <v>1</v>
      </c>
      <c r="B287" s="9" t="s">
        <v>3687</v>
      </c>
      <c r="C287" t="s">
        <v>4042</v>
      </c>
      <c r="D287" s="11" t="s">
        <v>3687</v>
      </c>
      <c r="E287" s="11" t="s">
        <v>4115</v>
      </c>
      <c r="F287" t="str">
        <f t="shared" si="12"/>
        <v>UPDATE [MAP].[T_TRANS_COST_CODE] SET NEW_COST_CODE_ID = '22-4000', NEW_ITEM_ID = 'Contract Item' WHERE LEGACY_COST_CODE_ID = '22-4000' AND DATA_FOLDER_ID = 'sampl'</v>
      </c>
      <c r="G287" t="str">
        <f t="shared" si="13"/>
        <v>-</v>
      </c>
      <c r="H287" t="str">
        <f t="shared" si="14"/>
        <v>-</v>
      </c>
    </row>
    <row r="288" spans="1:8" x14ac:dyDescent="0.25">
      <c r="A288" s="2" t="s">
        <v>1</v>
      </c>
      <c r="B288" s="9" t="s">
        <v>3688</v>
      </c>
      <c r="C288" t="s">
        <v>4043</v>
      </c>
      <c r="D288" s="11" t="s">
        <v>3688</v>
      </c>
      <c r="E288" s="11" t="s">
        <v>4115</v>
      </c>
      <c r="F288" t="str">
        <f t="shared" si="12"/>
        <v>UPDATE [MAP].[T_TRANS_COST_CODE] SET NEW_COST_CODE_ID = '22-5000', NEW_ITEM_ID = 'Contract Item' WHERE LEGACY_COST_CODE_ID = '22-5000' AND DATA_FOLDER_ID = 'sampl'</v>
      </c>
      <c r="G288" t="str">
        <f t="shared" si="13"/>
        <v>-</v>
      </c>
      <c r="H288" t="str">
        <f t="shared" si="14"/>
        <v>-</v>
      </c>
    </row>
    <row r="289" spans="1:8" x14ac:dyDescent="0.25">
      <c r="A289" s="2" t="s">
        <v>1</v>
      </c>
      <c r="B289" s="9" t="s">
        <v>3689</v>
      </c>
      <c r="C289" t="s">
        <v>4044</v>
      </c>
      <c r="D289" s="11" t="s">
        <v>3689</v>
      </c>
      <c r="E289" s="11" t="s">
        <v>4115</v>
      </c>
      <c r="F289" t="str">
        <f t="shared" si="12"/>
        <v>UPDATE [MAP].[T_TRANS_COST_CODE] SET NEW_COST_CODE_ID = '22-6000', NEW_ITEM_ID = 'Contract Item' WHERE LEGACY_COST_CODE_ID = '22-6000' AND DATA_FOLDER_ID = 'sampl'</v>
      </c>
      <c r="G289" t="str">
        <f t="shared" si="13"/>
        <v>-</v>
      </c>
      <c r="H289" t="str">
        <f t="shared" si="14"/>
        <v>-</v>
      </c>
    </row>
    <row r="290" spans="1:8" x14ac:dyDescent="0.25">
      <c r="A290" s="2" t="s">
        <v>1</v>
      </c>
      <c r="B290" s="9" t="s">
        <v>3690</v>
      </c>
      <c r="C290" t="s">
        <v>4045</v>
      </c>
      <c r="D290" s="11" t="s">
        <v>3690</v>
      </c>
      <c r="E290" s="11" t="s">
        <v>4115</v>
      </c>
      <c r="F290" t="str">
        <f t="shared" si="12"/>
        <v>UPDATE [MAP].[T_TRANS_COST_CODE] SET NEW_COST_CODE_ID = '22-6300', NEW_ITEM_ID = 'Contract Item' WHERE LEGACY_COST_CODE_ID = '22-6300' AND DATA_FOLDER_ID = 'sampl'</v>
      </c>
      <c r="G290" t="str">
        <f t="shared" si="13"/>
        <v>-</v>
      </c>
      <c r="H290" t="str">
        <f t="shared" si="14"/>
        <v>-</v>
      </c>
    </row>
    <row r="291" spans="1:8" x14ac:dyDescent="0.25">
      <c r="A291" s="2" t="s">
        <v>1</v>
      </c>
      <c r="B291" s="9" t="s">
        <v>3691</v>
      </c>
      <c r="C291" t="s">
        <v>4046</v>
      </c>
      <c r="D291" s="11" t="s">
        <v>3691</v>
      </c>
      <c r="E291" s="11" t="s">
        <v>4114</v>
      </c>
      <c r="F291" t="str">
        <f t="shared" si="12"/>
        <v>UPDATE [MAP].[T_TRANS_COST_CODE] SET NEW_COST_CODE_ID = '23-0000', NEW_ITEM_ID = ' ' WHERE LEGACY_COST_CODE_ID = '23-0000' AND DATA_FOLDER_ID = 'sampl'</v>
      </c>
      <c r="G291" t="str">
        <f t="shared" si="13"/>
        <v>-</v>
      </c>
      <c r="H291" t="str">
        <f t="shared" si="14"/>
        <v>-</v>
      </c>
    </row>
    <row r="292" spans="1:8" x14ac:dyDescent="0.25">
      <c r="A292" s="2" t="s">
        <v>1</v>
      </c>
      <c r="B292" s="9" t="s">
        <v>3692</v>
      </c>
      <c r="C292" t="s">
        <v>3915</v>
      </c>
      <c r="D292" s="11" t="s">
        <v>3692</v>
      </c>
      <c r="E292" s="11" t="s">
        <v>4115</v>
      </c>
      <c r="F292" t="str">
        <f t="shared" si="12"/>
        <v>UPDATE [MAP].[T_TRANS_COST_CODE] SET NEW_COST_CODE_ID = '23-0700', NEW_ITEM_ID = 'Contract Item' WHERE LEGACY_COST_CODE_ID = '23-0700' AND DATA_FOLDER_ID = 'sampl'</v>
      </c>
      <c r="G292" t="str">
        <f t="shared" si="13"/>
        <v>-</v>
      </c>
      <c r="H292" t="str">
        <f t="shared" si="14"/>
        <v>-</v>
      </c>
    </row>
    <row r="293" spans="1:8" x14ac:dyDescent="0.25">
      <c r="A293" s="2" t="s">
        <v>1</v>
      </c>
      <c r="B293" s="9" t="s">
        <v>3693</v>
      </c>
      <c r="C293" t="s">
        <v>4047</v>
      </c>
      <c r="D293" s="11" t="s">
        <v>3693</v>
      </c>
      <c r="E293" s="11" t="s">
        <v>4115</v>
      </c>
      <c r="F293" t="str">
        <f t="shared" si="12"/>
        <v>UPDATE [MAP].[T_TRANS_COST_CODE] SET NEW_COST_CODE_ID = '23-0900', NEW_ITEM_ID = 'Contract Item' WHERE LEGACY_COST_CODE_ID = '23-0900' AND DATA_FOLDER_ID = 'sampl'</v>
      </c>
      <c r="G293" t="str">
        <f t="shared" si="13"/>
        <v>-</v>
      </c>
      <c r="H293" t="str">
        <f t="shared" si="14"/>
        <v>-</v>
      </c>
    </row>
    <row r="294" spans="1:8" x14ac:dyDescent="0.25">
      <c r="A294" s="2" t="s">
        <v>1</v>
      </c>
      <c r="B294" s="9" t="s">
        <v>3694</v>
      </c>
      <c r="C294" t="s">
        <v>4048</v>
      </c>
      <c r="D294" s="11" t="s">
        <v>3694</v>
      </c>
      <c r="E294" s="11" t="s">
        <v>4115</v>
      </c>
      <c r="F294" t="str">
        <f t="shared" si="12"/>
        <v>UPDATE [MAP].[T_TRANS_COST_CODE] SET NEW_COST_CODE_ID = '23-2000', NEW_ITEM_ID = 'Contract Item' WHERE LEGACY_COST_CODE_ID = '23-2000' AND DATA_FOLDER_ID = 'sampl'</v>
      </c>
      <c r="G294" t="str">
        <f t="shared" si="13"/>
        <v>-</v>
      </c>
      <c r="H294" t="str">
        <f t="shared" si="14"/>
        <v>-</v>
      </c>
    </row>
    <row r="295" spans="1:8" x14ac:dyDescent="0.25">
      <c r="A295" s="2" t="s">
        <v>1</v>
      </c>
      <c r="B295" s="9" t="s">
        <v>3695</v>
      </c>
      <c r="C295" t="s">
        <v>4049</v>
      </c>
      <c r="D295" s="11" t="s">
        <v>3695</v>
      </c>
      <c r="E295" s="11" t="s">
        <v>4115</v>
      </c>
      <c r="F295" t="str">
        <f t="shared" si="12"/>
        <v>UPDATE [MAP].[T_TRANS_COST_CODE] SET NEW_COST_CODE_ID = '23-2010', NEW_ITEM_ID = 'Contract Item' WHERE LEGACY_COST_CODE_ID = '23-2010' AND DATA_FOLDER_ID = 'sampl'</v>
      </c>
      <c r="G295" t="str">
        <f t="shared" si="13"/>
        <v>-</v>
      </c>
      <c r="H295" t="str">
        <f t="shared" si="14"/>
        <v>-</v>
      </c>
    </row>
    <row r="296" spans="1:8" x14ac:dyDescent="0.25">
      <c r="A296" s="2" t="s">
        <v>1</v>
      </c>
      <c r="B296" s="9" t="s">
        <v>3696</v>
      </c>
      <c r="C296" t="s">
        <v>4050</v>
      </c>
      <c r="D296" s="11" t="s">
        <v>3696</v>
      </c>
      <c r="E296" s="11" t="s">
        <v>4115</v>
      </c>
      <c r="F296" t="str">
        <f t="shared" si="12"/>
        <v>UPDATE [MAP].[T_TRANS_COST_CODE] SET NEW_COST_CODE_ID = '23-6000', NEW_ITEM_ID = 'Contract Item' WHERE LEGACY_COST_CODE_ID = '23-6000' AND DATA_FOLDER_ID = 'sampl'</v>
      </c>
      <c r="G296" t="str">
        <f t="shared" si="13"/>
        <v>-</v>
      </c>
      <c r="H296" t="str">
        <f t="shared" si="14"/>
        <v>-</v>
      </c>
    </row>
    <row r="297" spans="1:8" x14ac:dyDescent="0.25">
      <c r="A297" s="2" t="s">
        <v>1</v>
      </c>
      <c r="B297" s="9" t="s">
        <v>3697</v>
      </c>
      <c r="C297" t="s">
        <v>4051</v>
      </c>
      <c r="D297" s="11" t="s">
        <v>3697</v>
      </c>
      <c r="E297" s="11" t="s">
        <v>4115</v>
      </c>
      <c r="F297" t="str">
        <f t="shared" si="12"/>
        <v>UPDATE [MAP].[T_TRANS_COST_CODE] SET NEW_COST_CODE_ID = '23-7000', NEW_ITEM_ID = 'Contract Item' WHERE LEGACY_COST_CODE_ID = '23-7000' AND DATA_FOLDER_ID = 'sampl'</v>
      </c>
      <c r="G297" t="str">
        <f t="shared" si="13"/>
        <v>-</v>
      </c>
      <c r="H297" t="str">
        <f t="shared" si="14"/>
        <v>-</v>
      </c>
    </row>
    <row r="298" spans="1:8" x14ac:dyDescent="0.25">
      <c r="A298" s="2" t="s">
        <v>1</v>
      </c>
      <c r="B298" s="9" t="s">
        <v>3698</v>
      </c>
      <c r="C298" t="s">
        <v>4052</v>
      </c>
      <c r="D298" s="11" t="s">
        <v>3698</v>
      </c>
      <c r="E298" s="11" t="s">
        <v>4115</v>
      </c>
      <c r="F298" t="str">
        <f t="shared" si="12"/>
        <v>UPDATE [MAP].[T_TRANS_COST_CODE] SET NEW_COST_CODE_ID = '23-7010', NEW_ITEM_ID = 'Contract Item' WHERE LEGACY_COST_CODE_ID = '23-7010' AND DATA_FOLDER_ID = 'sampl'</v>
      </c>
      <c r="G298" t="str">
        <f t="shared" si="13"/>
        <v>-</v>
      </c>
      <c r="H298" t="str">
        <f t="shared" si="14"/>
        <v>-</v>
      </c>
    </row>
    <row r="299" spans="1:8" x14ac:dyDescent="0.25">
      <c r="A299" s="2" t="s">
        <v>1</v>
      </c>
      <c r="B299" s="9" t="s">
        <v>3699</v>
      </c>
      <c r="C299" t="s">
        <v>4053</v>
      </c>
      <c r="D299" s="11" t="s">
        <v>3699</v>
      </c>
      <c r="E299" s="11" t="s">
        <v>4114</v>
      </c>
      <c r="F299" t="str">
        <f t="shared" si="12"/>
        <v>UPDATE [MAP].[T_TRANS_COST_CODE] SET NEW_COST_CODE_ID = '25-0000', NEW_ITEM_ID = ' ' WHERE LEGACY_COST_CODE_ID = '25-0000' AND DATA_FOLDER_ID = 'sampl'</v>
      </c>
      <c r="G299" t="str">
        <f t="shared" si="13"/>
        <v>-</v>
      </c>
      <c r="H299" t="str">
        <f t="shared" si="14"/>
        <v>-</v>
      </c>
    </row>
    <row r="300" spans="1:8" x14ac:dyDescent="0.25">
      <c r="A300" s="2" t="s">
        <v>1</v>
      </c>
      <c r="B300" s="9" t="s">
        <v>3700</v>
      </c>
      <c r="C300" t="s">
        <v>4054</v>
      </c>
      <c r="D300" s="11" t="s">
        <v>3700</v>
      </c>
      <c r="E300" s="11" t="s">
        <v>4115</v>
      </c>
      <c r="F300" t="str">
        <f t="shared" si="12"/>
        <v>UPDATE [MAP].[T_TRANS_COST_CODE] SET NEW_COST_CODE_ID = '25-5000', NEW_ITEM_ID = 'Contract Item' WHERE LEGACY_COST_CODE_ID = '25-5000' AND DATA_FOLDER_ID = 'sampl'</v>
      </c>
      <c r="G300" t="str">
        <f t="shared" si="13"/>
        <v>-</v>
      </c>
      <c r="H300" t="str">
        <f t="shared" si="14"/>
        <v>-</v>
      </c>
    </row>
    <row r="301" spans="1:8" x14ac:dyDescent="0.25">
      <c r="A301" s="2" t="s">
        <v>1</v>
      </c>
      <c r="B301" s="9" t="s">
        <v>3701</v>
      </c>
      <c r="C301" t="s">
        <v>4055</v>
      </c>
      <c r="D301" s="11" t="s">
        <v>3701</v>
      </c>
      <c r="E301" s="11" t="s">
        <v>4115</v>
      </c>
      <c r="F301" t="str">
        <f t="shared" si="12"/>
        <v>UPDATE [MAP].[T_TRANS_COST_CODE] SET NEW_COST_CODE_ID = '25-6000', NEW_ITEM_ID = 'Contract Item' WHERE LEGACY_COST_CODE_ID = '25-6000' AND DATA_FOLDER_ID = 'sampl'</v>
      </c>
      <c r="G301" t="str">
        <f t="shared" si="13"/>
        <v>-</v>
      </c>
      <c r="H301" t="str">
        <f t="shared" si="14"/>
        <v>-</v>
      </c>
    </row>
    <row r="302" spans="1:8" x14ac:dyDescent="0.25">
      <c r="A302" s="2" t="s">
        <v>1</v>
      </c>
      <c r="B302" s="9" t="s">
        <v>3702</v>
      </c>
      <c r="C302" t="s">
        <v>4056</v>
      </c>
      <c r="D302" s="11" t="s">
        <v>3702</v>
      </c>
      <c r="E302" s="11" t="s">
        <v>4114</v>
      </c>
      <c r="F302" t="str">
        <f t="shared" si="12"/>
        <v>UPDATE [MAP].[T_TRANS_COST_CODE] SET NEW_COST_CODE_ID = '26-0000', NEW_ITEM_ID = ' ' WHERE LEGACY_COST_CODE_ID = '26-0000' AND DATA_FOLDER_ID = 'sampl'</v>
      </c>
      <c r="G302" t="str">
        <f t="shared" si="13"/>
        <v>-</v>
      </c>
      <c r="H302" t="str">
        <f t="shared" si="14"/>
        <v>-</v>
      </c>
    </row>
    <row r="303" spans="1:8" x14ac:dyDescent="0.25">
      <c r="A303" s="2" t="s">
        <v>1</v>
      </c>
      <c r="B303" s="9" t="s">
        <v>3703</v>
      </c>
      <c r="C303" t="s">
        <v>4057</v>
      </c>
      <c r="D303" s="11" t="s">
        <v>3703</v>
      </c>
      <c r="E303" s="11" t="s">
        <v>4115</v>
      </c>
      <c r="F303" t="str">
        <f t="shared" si="12"/>
        <v>UPDATE [MAP].[T_TRANS_COST_CODE] SET NEW_COST_CODE_ID = '26-2000', NEW_ITEM_ID = 'Contract Item' WHERE LEGACY_COST_CODE_ID = '26-2000' AND DATA_FOLDER_ID = 'sampl'</v>
      </c>
      <c r="G303" t="str">
        <f t="shared" si="13"/>
        <v>-</v>
      </c>
      <c r="H303" t="str">
        <f t="shared" si="14"/>
        <v>-</v>
      </c>
    </row>
    <row r="304" spans="1:8" x14ac:dyDescent="0.25">
      <c r="A304" s="2" t="s">
        <v>1</v>
      </c>
      <c r="B304" s="9" t="s">
        <v>3704</v>
      </c>
      <c r="C304" t="s">
        <v>4058</v>
      </c>
      <c r="D304" s="11" t="s">
        <v>3704</v>
      </c>
      <c r="E304" s="11" t="s">
        <v>4115</v>
      </c>
      <c r="F304" t="str">
        <f t="shared" si="12"/>
        <v>UPDATE [MAP].[T_TRANS_COST_CODE] SET NEW_COST_CODE_ID = '26-2500', NEW_ITEM_ID = 'Contract Item' WHERE LEGACY_COST_CODE_ID = '26-2500' AND DATA_FOLDER_ID = 'sampl'</v>
      </c>
      <c r="G304" t="str">
        <f t="shared" si="13"/>
        <v>-</v>
      </c>
      <c r="H304" t="str">
        <f t="shared" si="14"/>
        <v>-</v>
      </c>
    </row>
    <row r="305" spans="1:8" x14ac:dyDescent="0.25">
      <c r="A305" s="2" t="s">
        <v>1</v>
      </c>
      <c r="B305" s="9" t="s">
        <v>3705</v>
      </c>
      <c r="C305" t="s">
        <v>4059</v>
      </c>
      <c r="D305" s="11" t="s">
        <v>3705</v>
      </c>
      <c r="E305" s="11" t="s">
        <v>4114</v>
      </c>
      <c r="F305" t="str">
        <f t="shared" si="12"/>
        <v>UPDATE [MAP].[T_TRANS_COST_CODE] SET NEW_COST_CODE_ID = '27-0000', NEW_ITEM_ID = ' ' WHERE LEGACY_COST_CODE_ID = '27-0000' AND DATA_FOLDER_ID = 'sampl'</v>
      </c>
      <c r="G305" t="str">
        <f t="shared" si="13"/>
        <v>-</v>
      </c>
      <c r="H305" t="str">
        <f t="shared" si="14"/>
        <v>-</v>
      </c>
    </row>
    <row r="306" spans="1:8" x14ac:dyDescent="0.25">
      <c r="A306" s="2" t="s">
        <v>1</v>
      </c>
      <c r="B306" s="9" t="s">
        <v>3706</v>
      </c>
      <c r="C306" t="s">
        <v>4060</v>
      </c>
      <c r="D306" s="11" t="s">
        <v>3706</v>
      </c>
      <c r="E306" s="11" t="s">
        <v>4115</v>
      </c>
      <c r="F306" t="str">
        <f t="shared" si="12"/>
        <v>UPDATE [MAP].[T_TRANS_COST_CODE] SET NEW_COST_CODE_ID = '27-2000', NEW_ITEM_ID = 'Contract Item' WHERE LEGACY_COST_CODE_ID = '27-2000' AND DATA_FOLDER_ID = 'sampl'</v>
      </c>
      <c r="G306" t="str">
        <f t="shared" si="13"/>
        <v>-</v>
      </c>
      <c r="H306" t="str">
        <f t="shared" si="14"/>
        <v>-</v>
      </c>
    </row>
    <row r="307" spans="1:8" x14ac:dyDescent="0.25">
      <c r="A307" s="2" t="s">
        <v>1</v>
      </c>
      <c r="B307" s="9" t="s">
        <v>3707</v>
      </c>
      <c r="C307" t="s">
        <v>4061</v>
      </c>
      <c r="D307" s="11" t="s">
        <v>3707</v>
      </c>
      <c r="E307" s="11" t="s">
        <v>4115</v>
      </c>
      <c r="F307" t="str">
        <f t="shared" si="12"/>
        <v>UPDATE [MAP].[T_TRANS_COST_CODE] SET NEW_COST_CODE_ID = '27-4000', NEW_ITEM_ID = 'Contract Item' WHERE LEGACY_COST_CODE_ID = '27-4000' AND DATA_FOLDER_ID = 'sampl'</v>
      </c>
      <c r="G307" t="str">
        <f t="shared" si="13"/>
        <v>-</v>
      </c>
      <c r="H307" t="str">
        <f t="shared" si="14"/>
        <v>-</v>
      </c>
    </row>
    <row r="308" spans="1:8" x14ac:dyDescent="0.25">
      <c r="A308" s="2" t="s">
        <v>1</v>
      </c>
      <c r="B308" s="9" t="s">
        <v>3708</v>
      </c>
      <c r="C308" t="s">
        <v>4062</v>
      </c>
      <c r="D308" s="11" t="s">
        <v>3708</v>
      </c>
      <c r="E308" s="11" t="s">
        <v>4114</v>
      </c>
      <c r="F308" t="str">
        <f t="shared" si="12"/>
        <v>UPDATE [MAP].[T_TRANS_COST_CODE] SET NEW_COST_CODE_ID = '28-0000', NEW_ITEM_ID = ' ' WHERE LEGACY_COST_CODE_ID = '28-0000' AND DATA_FOLDER_ID = 'sampl'</v>
      </c>
      <c r="G308" t="str">
        <f t="shared" si="13"/>
        <v>-</v>
      </c>
      <c r="H308" t="str">
        <f t="shared" si="14"/>
        <v>-</v>
      </c>
    </row>
    <row r="309" spans="1:8" x14ac:dyDescent="0.25">
      <c r="A309" s="2" t="s">
        <v>1</v>
      </c>
      <c r="B309" s="9" t="s">
        <v>3709</v>
      </c>
      <c r="C309" t="s">
        <v>4063</v>
      </c>
      <c r="D309" s="11" t="s">
        <v>3709</v>
      </c>
      <c r="E309" s="11" t="s">
        <v>4115</v>
      </c>
      <c r="F309" t="str">
        <f t="shared" si="12"/>
        <v>UPDATE [MAP].[T_TRANS_COST_CODE] SET NEW_COST_CODE_ID = '28-1000', NEW_ITEM_ID = 'Contract Item' WHERE LEGACY_COST_CODE_ID = '28-1000' AND DATA_FOLDER_ID = 'sampl'</v>
      </c>
      <c r="G309" t="str">
        <f t="shared" si="13"/>
        <v>-</v>
      </c>
      <c r="H309" t="str">
        <f t="shared" si="14"/>
        <v>-</v>
      </c>
    </row>
    <row r="310" spans="1:8" x14ac:dyDescent="0.25">
      <c r="A310" s="2" t="s">
        <v>1</v>
      </c>
      <c r="B310" s="9" t="s">
        <v>3710</v>
      </c>
      <c r="C310" t="s">
        <v>4064</v>
      </c>
      <c r="D310" s="11" t="s">
        <v>3710</v>
      </c>
      <c r="E310" s="11" t="s">
        <v>4115</v>
      </c>
      <c r="F310" t="str">
        <f t="shared" si="12"/>
        <v>UPDATE [MAP].[T_TRANS_COST_CODE] SET NEW_COST_CODE_ID = '28-3100', NEW_ITEM_ID = 'Contract Item' WHERE LEGACY_COST_CODE_ID = '28-3100' AND DATA_FOLDER_ID = 'sampl'</v>
      </c>
      <c r="G310" t="str">
        <f t="shared" si="13"/>
        <v>-</v>
      </c>
      <c r="H310" t="str">
        <f t="shared" si="14"/>
        <v>-</v>
      </c>
    </row>
    <row r="311" spans="1:8" x14ac:dyDescent="0.25">
      <c r="A311" s="2" t="s">
        <v>1</v>
      </c>
      <c r="B311" s="9" t="s">
        <v>3711</v>
      </c>
      <c r="C311" t="s">
        <v>4065</v>
      </c>
      <c r="D311" s="11" t="s">
        <v>3711</v>
      </c>
      <c r="E311" s="11" t="s">
        <v>4114</v>
      </c>
      <c r="F311" t="str">
        <f t="shared" si="12"/>
        <v>UPDATE [MAP].[T_TRANS_COST_CODE] SET NEW_COST_CODE_ID = '31-0000', NEW_ITEM_ID = ' ' WHERE LEGACY_COST_CODE_ID = '31-0000' AND DATA_FOLDER_ID = 'sampl'</v>
      </c>
      <c r="G311" t="str">
        <f t="shared" si="13"/>
        <v>-</v>
      </c>
      <c r="H311" t="str">
        <f t="shared" si="14"/>
        <v>-</v>
      </c>
    </row>
    <row r="312" spans="1:8" x14ac:dyDescent="0.25">
      <c r="A312" s="2" t="s">
        <v>1</v>
      </c>
      <c r="B312" s="9" t="s">
        <v>3712</v>
      </c>
      <c r="C312" t="s">
        <v>4066</v>
      </c>
      <c r="D312" s="11" t="s">
        <v>3712</v>
      </c>
      <c r="E312" s="11" t="s">
        <v>4115</v>
      </c>
      <c r="F312" t="str">
        <f t="shared" si="12"/>
        <v>UPDATE [MAP].[T_TRANS_COST_CODE] SET NEW_COST_CODE_ID = '31-1100', NEW_ITEM_ID = 'Contract Item' WHERE LEGACY_COST_CODE_ID = '31-1100' AND DATA_FOLDER_ID = 'sampl'</v>
      </c>
      <c r="G312" t="str">
        <f t="shared" si="13"/>
        <v>-</v>
      </c>
      <c r="H312" t="str">
        <f t="shared" si="14"/>
        <v>-</v>
      </c>
    </row>
    <row r="313" spans="1:8" x14ac:dyDescent="0.25">
      <c r="A313" s="2" t="s">
        <v>1</v>
      </c>
      <c r="B313" s="9" t="s">
        <v>3713</v>
      </c>
      <c r="C313" t="s">
        <v>4067</v>
      </c>
      <c r="D313" s="11" t="s">
        <v>3713</v>
      </c>
      <c r="E313" s="11" t="s">
        <v>4115</v>
      </c>
      <c r="F313" t="str">
        <f t="shared" si="12"/>
        <v>UPDATE [MAP].[T_TRANS_COST_CODE] SET NEW_COST_CODE_ID = '31-1313', NEW_ITEM_ID = 'Contract Item' WHERE LEGACY_COST_CODE_ID = '31-1313' AND DATA_FOLDER_ID = 'sampl'</v>
      </c>
      <c r="G313" t="str">
        <f t="shared" si="13"/>
        <v>-</v>
      </c>
      <c r="H313" t="str">
        <f t="shared" si="14"/>
        <v>-</v>
      </c>
    </row>
    <row r="314" spans="1:8" x14ac:dyDescent="0.25">
      <c r="A314" s="2" t="s">
        <v>1</v>
      </c>
      <c r="B314" s="9" t="s">
        <v>3714</v>
      </c>
      <c r="C314" t="s">
        <v>4068</v>
      </c>
      <c r="D314" s="11" t="s">
        <v>3714</v>
      </c>
      <c r="E314" s="11" t="s">
        <v>4115</v>
      </c>
      <c r="F314" t="str">
        <f t="shared" si="12"/>
        <v>UPDATE [MAP].[T_TRANS_COST_CODE] SET NEW_COST_CODE_ID = '31-2200', NEW_ITEM_ID = 'Contract Item' WHERE LEGACY_COST_CODE_ID = '31-2200' AND DATA_FOLDER_ID = 'sampl'</v>
      </c>
      <c r="G314" t="str">
        <f t="shared" si="13"/>
        <v>-</v>
      </c>
      <c r="H314" t="str">
        <f t="shared" si="14"/>
        <v>-</v>
      </c>
    </row>
    <row r="315" spans="1:8" x14ac:dyDescent="0.25">
      <c r="A315" s="2" t="s">
        <v>1</v>
      </c>
      <c r="B315" s="9" t="s">
        <v>3715</v>
      </c>
      <c r="C315" t="s">
        <v>4069</v>
      </c>
      <c r="D315" s="11" t="s">
        <v>3715</v>
      </c>
      <c r="E315" s="11" t="s">
        <v>4115</v>
      </c>
      <c r="F315" t="str">
        <f t="shared" si="12"/>
        <v>UPDATE [MAP].[T_TRANS_COST_CODE] SET NEW_COST_CODE_ID = '31-2316', NEW_ITEM_ID = 'Contract Item' WHERE LEGACY_COST_CODE_ID = '31-2316' AND DATA_FOLDER_ID = 'sampl'</v>
      </c>
      <c r="G315" t="str">
        <f t="shared" si="13"/>
        <v>-</v>
      </c>
      <c r="H315" t="str">
        <f t="shared" si="14"/>
        <v>-</v>
      </c>
    </row>
    <row r="316" spans="1:8" x14ac:dyDescent="0.25">
      <c r="A316" s="2" t="s">
        <v>1</v>
      </c>
      <c r="B316" s="9" t="s">
        <v>3716</v>
      </c>
      <c r="C316" t="s">
        <v>4070</v>
      </c>
      <c r="D316" s="11" t="s">
        <v>3716</v>
      </c>
      <c r="E316" s="11" t="s">
        <v>4115</v>
      </c>
      <c r="F316" t="str">
        <f t="shared" si="12"/>
        <v>UPDATE [MAP].[T_TRANS_COST_CODE] SET NEW_COST_CODE_ID = '31-2319', NEW_ITEM_ID = 'Contract Item' WHERE LEGACY_COST_CODE_ID = '31-2319' AND DATA_FOLDER_ID = 'sampl'</v>
      </c>
      <c r="G316" t="str">
        <f t="shared" si="13"/>
        <v>-</v>
      </c>
      <c r="H316" t="str">
        <f t="shared" si="14"/>
        <v>-</v>
      </c>
    </row>
    <row r="317" spans="1:8" x14ac:dyDescent="0.25">
      <c r="A317" s="2" t="s">
        <v>1</v>
      </c>
      <c r="B317" s="9" t="s">
        <v>3717</v>
      </c>
      <c r="C317" t="s">
        <v>4071</v>
      </c>
      <c r="D317" s="11" t="s">
        <v>3717</v>
      </c>
      <c r="E317" s="11" t="s">
        <v>4115</v>
      </c>
      <c r="F317" t="str">
        <f t="shared" si="12"/>
        <v>UPDATE [MAP].[T_TRANS_COST_CODE] SET NEW_COST_CODE_ID = '31-2323', NEW_ITEM_ID = 'Contract Item' WHERE LEGACY_COST_CODE_ID = '31-2323' AND DATA_FOLDER_ID = 'sampl'</v>
      </c>
      <c r="G317" t="str">
        <f t="shared" si="13"/>
        <v>-</v>
      </c>
      <c r="H317" t="str">
        <f t="shared" si="14"/>
        <v>-</v>
      </c>
    </row>
    <row r="318" spans="1:8" x14ac:dyDescent="0.25">
      <c r="A318" s="2" t="s">
        <v>1</v>
      </c>
      <c r="B318" s="9" t="s">
        <v>3718</v>
      </c>
      <c r="C318" t="s">
        <v>4072</v>
      </c>
      <c r="D318" s="11" t="s">
        <v>3718</v>
      </c>
      <c r="E318" s="11" t="s">
        <v>4115</v>
      </c>
      <c r="F318" t="str">
        <f t="shared" si="12"/>
        <v>UPDATE [MAP].[T_TRANS_COST_CODE] SET NEW_COST_CODE_ID = '31-2333', NEW_ITEM_ID = 'Contract Item' WHERE LEGACY_COST_CODE_ID = '31-2333' AND DATA_FOLDER_ID = 'sampl'</v>
      </c>
      <c r="G318" t="str">
        <f t="shared" si="13"/>
        <v>-</v>
      </c>
      <c r="H318" t="str">
        <f t="shared" si="14"/>
        <v>-</v>
      </c>
    </row>
    <row r="319" spans="1:8" x14ac:dyDescent="0.25">
      <c r="A319" s="2" t="s">
        <v>1</v>
      </c>
      <c r="B319" s="9" t="s">
        <v>3719</v>
      </c>
      <c r="C319" t="s">
        <v>4073</v>
      </c>
      <c r="D319" s="11" t="s">
        <v>3719</v>
      </c>
      <c r="E319" s="11" t="s">
        <v>4115</v>
      </c>
      <c r="F319" t="str">
        <f t="shared" si="12"/>
        <v>UPDATE [MAP].[T_TRANS_COST_CODE] SET NEW_COST_CODE_ID = '31-2500', NEW_ITEM_ID = 'Contract Item' WHERE LEGACY_COST_CODE_ID = '31-2500' AND DATA_FOLDER_ID = 'sampl'</v>
      </c>
      <c r="G319" t="str">
        <f t="shared" si="13"/>
        <v>-</v>
      </c>
      <c r="H319" t="str">
        <f t="shared" si="14"/>
        <v>-</v>
      </c>
    </row>
    <row r="320" spans="1:8" x14ac:dyDescent="0.25">
      <c r="A320" s="2" t="s">
        <v>1</v>
      </c>
      <c r="B320" s="9" t="s">
        <v>3720</v>
      </c>
      <c r="C320" t="s">
        <v>4074</v>
      </c>
      <c r="D320" s="11" t="s">
        <v>3720</v>
      </c>
      <c r="E320" s="11" t="s">
        <v>4115</v>
      </c>
      <c r="F320" t="str">
        <f t="shared" si="12"/>
        <v>UPDATE [MAP].[T_TRANS_COST_CODE] SET NEW_COST_CODE_ID = '31-3113', NEW_ITEM_ID = 'Contract Item' WHERE LEGACY_COST_CODE_ID = '31-3113' AND DATA_FOLDER_ID = 'sampl'</v>
      </c>
      <c r="G320" t="str">
        <f t="shared" si="13"/>
        <v>-</v>
      </c>
      <c r="H320" t="str">
        <f t="shared" si="14"/>
        <v>-</v>
      </c>
    </row>
    <row r="321" spans="1:8" x14ac:dyDescent="0.25">
      <c r="A321" s="2" t="s">
        <v>1</v>
      </c>
      <c r="B321" s="9" t="s">
        <v>3721</v>
      </c>
      <c r="C321" t="s">
        <v>4075</v>
      </c>
      <c r="D321" s="11" t="s">
        <v>3721</v>
      </c>
      <c r="E321" s="11" t="s">
        <v>4115</v>
      </c>
      <c r="F321" t="str">
        <f t="shared" si="12"/>
        <v>UPDATE [MAP].[T_TRANS_COST_CODE] SET NEW_COST_CODE_ID = '31-3200', NEW_ITEM_ID = 'Contract Item' WHERE LEGACY_COST_CODE_ID = '31-3200' AND DATA_FOLDER_ID = 'sampl'</v>
      </c>
      <c r="G321" t="str">
        <f t="shared" si="13"/>
        <v>-</v>
      </c>
      <c r="H321" t="str">
        <f t="shared" si="14"/>
        <v>-</v>
      </c>
    </row>
    <row r="322" spans="1:8" x14ac:dyDescent="0.25">
      <c r="A322" s="2" t="s">
        <v>1</v>
      </c>
      <c r="B322" s="9" t="s">
        <v>3722</v>
      </c>
      <c r="C322" t="s">
        <v>4076</v>
      </c>
      <c r="D322" s="11" t="s">
        <v>3722</v>
      </c>
      <c r="E322" s="11" t="s">
        <v>4115</v>
      </c>
      <c r="F322" t="str">
        <f t="shared" si="12"/>
        <v>UPDATE [MAP].[T_TRANS_COST_CODE] SET NEW_COST_CODE_ID = '31-3700', NEW_ITEM_ID = 'Contract Item' WHERE LEGACY_COST_CODE_ID = '31-3700' AND DATA_FOLDER_ID = 'sampl'</v>
      </c>
      <c r="G322" t="str">
        <f t="shared" si="13"/>
        <v>-</v>
      </c>
      <c r="H322" t="str">
        <f t="shared" si="14"/>
        <v>-</v>
      </c>
    </row>
    <row r="323" spans="1:8" x14ac:dyDescent="0.25">
      <c r="A323" s="2" t="s">
        <v>1</v>
      </c>
      <c r="B323" s="9" t="s">
        <v>3723</v>
      </c>
      <c r="C323" t="s">
        <v>4077</v>
      </c>
      <c r="D323" s="11" t="s">
        <v>3723</v>
      </c>
      <c r="E323" s="11" t="s">
        <v>4115</v>
      </c>
      <c r="F323" t="str">
        <f t="shared" si="12"/>
        <v>UPDATE [MAP].[T_TRANS_COST_CODE] SET NEW_COST_CODE_ID = '31-4100', NEW_ITEM_ID = 'Contract Item' WHERE LEGACY_COST_CODE_ID = '31-4100' AND DATA_FOLDER_ID = 'sampl'</v>
      </c>
      <c r="G323" t="str">
        <f t="shared" si="13"/>
        <v>-</v>
      </c>
      <c r="H323" t="str">
        <f t="shared" si="14"/>
        <v>-</v>
      </c>
    </row>
    <row r="324" spans="1:8" x14ac:dyDescent="0.25">
      <c r="A324" s="2" t="s">
        <v>1</v>
      </c>
      <c r="B324" s="9" t="s">
        <v>3724</v>
      </c>
      <c r="C324" t="s">
        <v>4078</v>
      </c>
      <c r="D324" s="11" t="s">
        <v>3724</v>
      </c>
      <c r="E324" s="11" t="s">
        <v>4115</v>
      </c>
      <c r="F324" t="str">
        <f t="shared" si="12"/>
        <v>UPDATE [MAP].[T_TRANS_COST_CODE] SET NEW_COST_CODE_ID = '31-4800', NEW_ITEM_ID = 'Contract Item' WHERE LEGACY_COST_CODE_ID = '31-4800' AND DATA_FOLDER_ID = 'sampl'</v>
      </c>
      <c r="G324" t="str">
        <f t="shared" si="13"/>
        <v>-</v>
      </c>
      <c r="H324" t="str">
        <f t="shared" si="14"/>
        <v>-</v>
      </c>
    </row>
    <row r="325" spans="1:8" x14ac:dyDescent="0.25">
      <c r="A325" s="2" t="s">
        <v>1</v>
      </c>
      <c r="B325" s="9" t="s">
        <v>3725</v>
      </c>
      <c r="C325" t="s">
        <v>4079</v>
      </c>
      <c r="D325" s="11" t="s">
        <v>3725</v>
      </c>
      <c r="E325" s="11" t="s">
        <v>4115</v>
      </c>
      <c r="F325" t="str">
        <f t="shared" ref="F325:F359" si="15">"UPDATE "&amp;F$3&amp;" SET NEW_COST_CODE_ID = '"&amp;D325&amp;"', NEW_ITEM_ID = '"&amp;E325&amp;"' WHERE LEGACY_COST_CODE_ID = '"&amp;B325&amp;"' AND DATA_FOLDER_ID = '"&amp;A325&amp;"'"</f>
        <v>UPDATE [MAP].[T_TRANS_COST_CODE] SET NEW_COST_CODE_ID = '31-6000', NEW_ITEM_ID = 'Contract Item' WHERE LEGACY_COST_CODE_ID = '31-6000' AND DATA_FOLDER_ID = 'sampl'</v>
      </c>
      <c r="G325" t="str">
        <f t="shared" ref="G325:G359" si="16">IF(B325&lt;&gt;D325,"Changed","-")</f>
        <v>-</v>
      </c>
      <c r="H325" t="str">
        <f t="shared" ref="H325:H359" si="17">IF(B325="","Hide","-")</f>
        <v>-</v>
      </c>
    </row>
    <row r="326" spans="1:8" x14ac:dyDescent="0.25">
      <c r="A326" s="2" t="s">
        <v>1</v>
      </c>
      <c r="B326" s="9" t="s">
        <v>3726</v>
      </c>
      <c r="C326" t="s">
        <v>4080</v>
      </c>
      <c r="D326" s="11" t="s">
        <v>3726</v>
      </c>
      <c r="E326" s="11" t="s">
        <v>4115</v>
      </c>
      <c r="F326" t="str">
        <f t="shared" si="15"/>
        <v>UPDATE [MAP].[T_TRANS_COST_CODE] SET NEW_COST_CODE_ID = '31-7000', NEW_ITEM_ID = 'Contract Item' WHERE LEGACY_COST_CODE_ID = '31-7000' AND DATA_FOLDER_ID = 'sampl'</v>
      </c>
      <c r="G326" t="str">
        <f t="shared" si="16"/>
        <v>-</v>
      </c>
      <c r="H326" t="str">
        <f t="shared" si="17"/>
        <v>-</v>
      </c>
    </row>
    <row r="327" spans="1:8" x14ac:dyDescent="0.25">
      <c r="A327" s="2" t="s">
        <v>1</v>
      </c>
      <c r="B327" s="9" t="s">
        <v>3727</v>
      </c>
      <c r="C327" t="s">
        <v>4081</v>
      </c>
      <c r="D327" s="11" t="s">
        <v>3727</v>
      </c>
      <c r="E327" s="11" t="s">
        <v>4114</v>
      </c>
      <c r="F327" t="str">
        <f t="shared" si="15"/>
        <v>UPDATE [MAP].[T_TRANS_COST_CODE] SET NEW_COST_CODE_ID = '32-0000', NEW_ITEM_ID = ' ' WHERE LEGACY_COST_CODE_ID = '32-0000' AND DATA_FOLDER_ID = 'sampl'</v>
      </c>
      <c r="G327" t="str">
        <f t="shared" si="16"/>
        <v>-</v>
      </c>
      <c r="H327" t="str">
        <f t="shared" si="17"/>
        <v>-</v>
      </c>
    </row>
    <row r="328" spans="1:8" x14ac:dyDescent="0.25">
      <c r="A328" s="2" t="s">
        <v>1</v>
      </c>
      <c r="B328" s="9" t="s">
        <v>3728</v>
      </c>
      <c r="C328" t="s">
        <v>4082</v>
      </c>
      <c r="D328" s="11" t="s">
        <v>3728</v>
      </c>
      <c r="E328" s="11" t="s">
        <v>4115</v>
      </c>
      <c r="F328" t="str">
        <f t="shared" si="15"/>
        <v>UPDATE [MAP].[T_TRANS_COST_CODE] SET NEW_COST_CODE_ID = '32-0117', NEW_ITEM_ID = 'Contract Item' WHERE LEGACY_COST_CODE_ID = '32-0117' AND DATA_FOLDER_ID = 'sampl'</v>
      </c>
      <c r="G328" t="str">
        <f t="shared" si="16"/>
        <v>-</v>
      </c>
      <c r="H328" t="str">
        <f t="shared" si="17"/>
        <v>-</v>
      </c>
    </row>
    <row r="329" spans="1:8" x14ac:dyDescent="0.25">
      <c r="A329" s="2" t="s">
        <v>1</v>
      </c>
      <c r="B329" s="9" t="s">
        <v>3729</v>
      </c>
      <c r="C329" t="s">
        <v>4083</v>
      </c>
      <c r="D329" s="11" t="s">
        <v>3729</v>
      </c>
      <c r="E329" s="11" t="s">
        <v>4115</v>
      </c>
      <c r="F329" t="str">
        <f t="shared" si="15"/>
        <v>UPDATE [MAP].[T_TRANS_COST_CODE] SET NEW_COST_CODE_ID = '32-0130', NEW_ITEM_ID = 'Contract Item' WHERE LEGACY_COST_CODE_ID = '32-0130' AND DATA_FOLDER_ID = 'sampl'</v>
      </c>
      <c r="G329" t="str">
        <f t="shared" si="16"/>
        <v>-</v>
      </c>
      <c r="H329" t="str">
        <f t="shared" si="17"/>
        <v>-</v>
      </c>
    </row>
    <row r="330" spans="1:8" x14ac:dyDescent="0.25">
      <c r="A330" s="2" t="s">
        <v>1</v>
      </c>
      <c r="B330" s="9" t="s">
        <v>3730</v>
      </c>
      <c r="C330" t="s">
        <v>4084</v>
      </c>
      <c r="D330" s="11" t="s">
        <v>3730</v>
      </c>
      <c r="E330" s="11" t="s">
        <v>4115</v>
      </c>
      <c r="F330" t="str">
        <f t="shared" si="15"/>
        <v>UPDATE [MAP].[T_TRANS_COST_CODE] SET NEW_COST_CODE_ID = '32-1100', NEW_ITEM_ID = 'Contract Item' WHERE LEGACY_COST_CODE_ID = '32-1100' AND DATA_FOLDER_ID = 'sampl'</v>
      </c>
      <c r="G330" t="str">
        <f t="shared" si="16"/>
        <v>-</v>
      </c>
      <c r="H330" t="str">
        <f t="shared" si="17"/>
        <v>-</v>
      </c>
    </row>
    <row r="331" spans="1:8" x14ac:dyDescent="0.25">
      <c r="A331" s="2" t="s">
        <v>1</v>
      </c>
      <c r="B331" s="9" t="s">
        <v>3731</v>
      </c>
      <c r="C331" t="s">
        <v>4085</v>
      </c>
      <c r="D331" s="11" t="s">
        <v>3731</v>
      </c>
      <c r="E331" s="11" t="s">
        <v>4115</v>
      </c>
      <c r="F331" t="str">
        <f t="shared" si="15"/>
        <v>UPDATE [MAP].[T_TRANS_COST_CODE] SET NEW_COST_CODE_ID = '32-1216', NEW_ITEM_ID = 'Contract Item' WHERE LEGACY_COST_CODE_ID = '32-1216' AND DATA_FOLDER_ID = 'sampl'</v>
      </c>
      <c r="G331" t="str">
        <f t="shared" si="16"/>
        <v>-</v>
      </c>
      <c r="H331" t="str">
        <f t="shared" si="17"/>
        <v>-</v>
      </c>
    </row>
    <row r="332" spans="1:8" x14ac:dyDescent="0.25">
      <c r="A332" s="2" t="s">
        <v>1</v>
      </c>
      <c r="B332" s="9" t="s">
        <v>3732</v>
      </c>
      <c r="C332" t="s">
        <v>4086</v>
      </c>
      <c r="D332" s="11" t="s">
        <v>3732</v>
      </c>
      <c r="E332" s="11" t="s">
        <v>4115</v>
      </c>
      <c r="F332" t="str">
        <f t="shared" si="15"/>
        <v>UPDATE [MAP].[T_TRANS_COST_CODE] SET NEW_COST_CODE_ID = '32-1313', NEW_ITEM_ID = 'Contract Item' WHERE LEGACY_COST_CODE_ID = '32-1313' AND DATA_FOLDER_ID = 'sampl'</v>
      </c>
      <c r="G332" t="str">
        <f t="shared" si="16"/>
        <v>-</v>
      </c>
      <c r="H332" t="str">
        <f t="shared" si="17"/>
        <v>-</v>
      </c>
    </row>
    <row r="333" spans="1:8" x14ac:dyDescent="0.25">
      <c r="A333" s="2" t="s">
        <v>1</v>
      </c>
      <c r="B333" s="9" t="s">
        <v>3733</v>
      </c>
      <c r="C333" t="s">
        <v>4087</v>
      </c>
      <c r="D333" s="11" t="s">
        <v>3733</v>
      </c>
      <c r="E333" s="11" t="s">
        <v>4115</v>
      </c>
      <c r="F333" t="str">
        <f t="shared" si="15"/>
        <v>UPDATE [MAP].[T_TRANS_COST_CODE] SET NEW_COST_CODE_ID = '32-1613', NEW_ITEM_ID = 'Contract Item' WHERE LEGACY_COST_CODE_ID = '32-1613' AND DATA_FOLDER_ID = 'sampl'</v>
      </c>
      <c r="G333" t="str">
        <f t="shared" si="16"/>
        <v>-</v>
      </c>
      <c r="H333" t="str">
        <f t="shared" si="17"/>
        <v>-</v>
      </c>
    </row>
    <row r="334" spans="1:8" x14ac:dyDescent="0.25">
      <c r="A334" s="2" t="s">
        <v>1</v>
      </c>
      <c r="B334" s="9" t="s">
        <v>3734</v>
      </c>
      <c r="C334" t="s">
        <v>4088</v>
      </c>
      <c r="D334" s="11" t="s">
        <v>3734</v>
      </c>
      <c r="E334" s="11" t="s">
        <v>4115</v>
      </c>
      <c r="F334" t="str">
        <f t="shared" si="15"/>
        <v>UPDATE [MAP].[T_TRANS_COST_CODE] SET NEW_COST_CODE_ID = '32-1623', NEW_ITEM_ID = 'Contract Item' WHERE LEGACY_COST_CODE_ID = '32-1623' AND DATA_FOLDER_ID = 'sampl'</v>
      </c>
      <c r="G334" t="str">
        <f t="shared" si="16"/>
        <v>-</v>
      </c>
      <c r="H334" t="str">
        <f t="shared" si="17"/>
        <v>-</v>
      </c>
    </row>
    <row r="335" spans="1:8" x14ac:dyDescent="0.25">
      <c r="A335" s="2" t="s">
        <v>1</v>
      </c>
      <c r="B335" s="9" t="s">
        <v>3735</v>
      </c>
      <c r="C335" t="s">
        <v>4089</v>
      </c>
      <c r="D335" s="11" t="s">
        <v>3735</v>
      </c>
      <c r="E335" s="11" t="s">
        <v>4115</v>
      </c>
      <c r="F335" t="str">
        <f t="shared" si="15"/>
        <v>UPDATE [MAP].[T_TRANS_COST_CODE] SET NEW_COST_CODE_ID = '32-1633', NEW_ITEM_ID = 'Contract Item' WHERE LEGACY_COST_CODE_ID = '32-1633' AND DATA_FOLDER_ID = 'sampl'</v>
      </c>
      <c r="G335" t="str">
        <f t="shared" si="16"/>
        <v>-</v>
      </c>
      <c r="H335" t="str">
        <f t="shared" si="17"/>
        <v>-</v>
      </c>
    </row>
    <row r="336" spans="1:8" x14ac:dyDescent="0.25">
      <c r="A336" s="2" t="s">
        <v>1</v>
      </c>
      <c r="B336" s="9" t="s">
        <v>3736</v>
      </c>
      <c r="C336" t="s">
        <v>4090</v>
      </c>
      <c r="D336" s="11" t="s">
        <v>3736</v>
      </c>
      <c r="E336" s="11" t="s">
        <v>4115</v>
      </c>
      <c r="F336" t="str">
        <f t="shared" si="15"/>
        <v>UPDATE [MAP].[T_TRANS_COST_CODE] SET NEW_COST_CODE_ID = '32-1713', NEW_ITEM_ID = 'Contract Item' WHERE LEGACY_COST_CODE_ID = '32-1713' AND DATA_FOLDER_ID = 'sampl'</v>
      </c>
      <c r="G336" t="str">
        <f t="shared" si="16"/>
        <v>-</v>
      </c>
      <c r="H336" t="str">
        <f t="shared" si="17"/>
        <v>-</v>
      </c>
    </row>
    <row r="337" spans="1:8" x14ac:dyDescent="0.25">
      <c r="A337" s="2" t="s">
        <v>1</v>
      </c>
      <c r="B337" s="9" t="s">
        <v>3737</v>
      </c>
      <c r="C337" t="s">
        <v>4091</v>
      </c>
      <c r="D337" s="11" t="s">
        <v>3737</v>
      </c>
      <c r="E337" s="11" t="s">
        <v>4115</v>
      </c>
      <c r="F337" t="str">
        <f t="shared" si="15"/>
        <v>UPDATE [MAP].[T_TRANS_COST_CODE] SET NEW_COST_CODE_ID = '32-1723', NEW_ITEM_ID = 'Contract Item' WHERE LEGACY_COST_CODE_ID = '32-1723' AND DATA_FOLDER_ID = 'sampl'</v>
      </c>
      <c r="G337" t="str">
        <f t="shared" si="16"/>
        <v>-</v>
      </c>
      <c r="H337" t="str">
        <f t="shared" si="17"/>
        <v>-</v>
      </c>
    </row>
    <row r="338" spans="1:8" x14ac:dyDescent="0.25">
      <c r="A338" s="2" t="s">
        <v>1</v>
      </c>
      <c r="B338" s="9" t="s">
        <v>3738</v>
      </c>
      <c r="C338" t="s">
        <v>4092</v>
      </c>
      <c r="D338" s="11" t="s">
        <v>3738</v>
      </c>
      <c r="E338" s="11" t="s">
        <v>4115</v>
      </c>
      <c r="F338" t="str">
        <f t="shared" si="15"/>
        <v>UPDATE [MAP].[T_TRANS_COST_CODE] SET NEW_COST_CODE_ID = '32-3100', NEW_ITEM_ID = 'Contract Item' WHERE LEGACY_COST_CODE_ID = '32-3100' AND DATA_FOLDER_ID = 'sampl'</v>
      </c>
      <c r="G338" t="str">
        <f t="shared" si="16"/>
        <v>-</v>
      </c>
      <c r="H338" t="str">
        <f t="shared" si="17"/>
        <v>-</v>
      </c>
    </row>
    <row r="339" spans="1:8" x14ac:dyDescent="0.25">
      <c r="A339" s="2" t="s">
        <v>1</v>
      </c>
      <c r="B339" s="9" t="s">
        <v>3739</v>
      </c>
      <c r="C339" t="s">
        <v>4093</v>
      </c>
      <c r="D339" s="11" t="s">
        <v>3739</v>
      </c>
      <c r="E339" s="11" t="s">
        <v>4115</v>
      </c>
      <c r="F339" t="str">
        <f t="shared" si="15"/>
        <v>UPDATE [MAP].[T_TRANS_COST_CODE] SET NEW_COST_CODE_ID = '32-3200', NEW_ITEM_ID = 'Contract Item' WHERE LEGACY_COST_CODE_ID = '32-3200' AND DATA_FOLDER_ID = 'sampl'</v>
      </c>
      <c r="G339" t="str">
        <f t="shared" si="16"/>
        <v>-</v>
      </c>
      <c r="H339" t="str">
        <f t="shared" si="17"/>
        <v>-</v>
      </c>
    </row>
    <row r="340" spans="1:8" x14ac:dyDescent="0.25">
      <c r="A340" s="2" t="s">
        <v>1</v>
      </c>
      <c r="B340" s="9" t="s">
        <v>3740</v>
      </c>
      <c r="C340" t="s">
        <v>4094</v>
      </c>
      <c r="D340" s="11" t="s">
        <v>3740</v>
      </c>
      <c r="E340" s="11" t="s">
        <v>4115</v>
      </c>
      <c r="F340" t="str">
        <f t="shared" si="15"/>
        <v>UPDATE [MAP].[T_TRANS_COST_CODE] SET NEW_COST_CODE_ID = '32-3913', NEW_ITEM_ID = 'Contract Item' WHERE LEGACY_COST_CODE_ID = '32-3913' AND DATA_FOLDER_ID = 'sampl'</v>
      </c>
      <c r="G340" t="str">
        <f t="shared" si="16"/>
        <v>-</v>
      </c>
      <c r="H340" t="str">
        <f t="shared" si="17"/>
        <v>-</v>
      </c>
    </row>
    <row r="341" spans="1:8" x14ac:dyDescent="0.25">
      <c r="A341" s="2" t="s">
        <v>1</v>
      </c>
      <c r="B341" s="9" t="s">
        <v>3741</v>
      </c>
      <c r="C341" t="s">
        <v>4095</v>
      </c>
      <c r="D341" s="11" t="s">
        <v>3741</v>
      </c>
      <c r="E341" s="11" t="s">
        <v>4115</v>
      </c>
      <c r="F341" t="str">
        <f t="shared" si="15"/>
        <v>UPDATE [MAP].[T_TRANS_COST_CODE] SET NEW_COST_CODE_ID = '32-9000', NEW_ITEM_ID = 'Contract Item' WHERE LEGACY_COST_CODE_ID = '32-9000' AND DATA_FOLDER_ID = 'sampl'</v>
      </c>
      <c r="G341" t="str">
        <f t="shared" si="16"/>
        <v>-</v>
      </c>
      <c r="H341" t="str">
        <f t="shared" si="17"/>
        <v>-</v>
      </c>
    </row>
    <row r="342" spans="1:8" x14ac:dyDescent="0.25">
      <c r="A342" s="2" t="s">
        <v>1</v>
      </c>
      <c r="B342" s="9" t="s">
        <v>3742</v>
      </c>
      <c r="C342" t="s">
        <v>4096</v>
      </c>
      <c r="D342" s="11" t="s">
        <v>3742</v>
      </c>
      <c r="E342" s="11" t="s">
        <v>4114</v>
      </c>
      <c r="F342" t="str">
        <f t="shared" si="15"/>
        <v>UPDATE [MAP].[T_TRANS_COST_CODE] SET NEW_COST_CODE_ID = '33-0000', NEW_ITEM_ID = ' ' WHERE LEGACY_COST_CODE_ID = '33-0000' AND DATA_FOLDER_ID = 'sampl'</v>
      </c>
      <c r="G342" t="str">
        <f t="shared" si="16"/>
        <v>-</v>
      </c>
      <c r="H342" t="str">
        <f t="shared" si="17"/>
        <v>-</v>
      </c>
    </row>
    <row r="343" spans="1:8" x14ac:dyDescent="0.25">
      <c r="A343" s="2" t="s">
        <v>1</v>
      </c>
      <c r="B343" s="9" t="s">
        <v>3743</v>
      </c>
      <c r="C343" t="s">
        <v>4097</v>
      </c>
      <c r="D343" s="11" t="s">
        <v>3743</v>
      </c>
      <c r="E343" s="11" t="s">
        <v>4115</v>
      </c>
      <c r="F343" t="str">
        <f t="shared" si="15"/>
        <v>UPDATE [MAP].[T_TRANS_COST_CODE] SET NEW_COST_CODE_ID = '33-1000', NEW_ITEM_ID = 'Contract Item' WHERE LEGACY_COST_CODE_ID = '33-1000' AND DATA_FOLDER_ID = 'sampl'</v>
      </c>
      <c r="G343" t="str">
        <f t="shared" si="16"/>
        <v>-</v>
      </c>
      <c r="H343" t="str">
        <f t="shared" si="17"/>
        <v>-</v>
      </c>
    </row>
    <row r="344" spans="1:8" x14ac:dyDescent="0.25">
      <c r="A344" s="2" t="s">
        <v>1</v>
      </c>
      <c r="B344" s="9" t="s">
        <v>3744</v>
      </c>
      <c r="C344" t="s">
        <v>4098</v>
      </c>
      <c r="D344" s="11" t="s">
        <v>3744</v>
      </c>
      <c r="E344" s="11" t="s">
        <v>4115</v>
      </c>
      <c r="F344" t="str">
        <f t="shared" si="15"/>
        <v>UPDATE [MAP].[T_TRANS_COST_CODE] SET NEW_COST_CODE_ID = '33-3000', NEW_ITEM_ID = 'Contract Item' WHERE LEGACY_COST_CODE_ID = '33-3000' AND DATA_FOLDER_ID = 'sampl'</v>
      </c>
      <c r="G344" t="str">
        <f t="shared" si="16"/>
        <v>-</v>
      </c>
      <c r="H344" t="str">
        <f t="shared" si="17"/>
        <v>-</v>
      </c>
    </row>
    <row r="345" spans="1:8" x14ac:dyDescent="0.25">
      <c r="A345" s="2" t="s">
        <v>1</v>
      </c>
      <c r="B345" s="9" t="s">
        <v>3745</v>
      </c>
      <c r="C345" t="s">
        <v>4099</v>
      </c>
      <c r="D345" s="11" t="s">
        <v>3745</v>
      </c>
      <c r="E345" s="11" t="s">
        <v>4115</v>
      </c>
      <c r="F345" t="str">
        <f t="shared" si="15"/>
        <v>UPDATE [MAP].[T_TRANS_COST_CODE] SET NEW_COST_CODE_ID = '33-4000', NEW_ITEM_ID = 'Contract Item' WHERE LEGACY_COST_CODE_ID = '33-4000' AND DATA_FOLDER_ID = 'sampl'</v>
      </c>
      <c r="G345" t="str">
        <f t="shared" si="16"/>
        <v>-</v>
      </c>
      <c r="H345" t="str">
        <f t="shared" si="17"/>
        <v>-</v>
      </c>
    </row>
    <row r="346" spans="1:8" x14ac:dyDescent="0.25">
      <c r="A346" s="2" t="s">
        <v>1</v>
      </c>
      <c r="B346" s="9" t="s">
        <v>3746</v>
      </c>
      <c r="C346" t="s">
        <v>4100</v>
      </c>
      <c r="D346" s="11" t="s">
        <v>3746</v>
      </c>
      <c r="E346" s="11" t="s">
        <v>4115</v>
      </c>
      <c r="F346" t="str">
        <f t="shared" si="15"/>
        <v>UPDATE [MAP].[T_TRANS_COST_CODE] SET NEW_COST_CODE_ID = '33-5000', NEW_ITEM_ID = 'Contract Item' WHERE LEGACY_COST_CODE_ID = '33-5000' AND DATA_FOLDER_ID = 'sampl'</v>
      </c>
      <c r="G346" t="str">
        <f t="shared" si="16"/>
        <v>-</v>
      </c>
      <c r="H346" t="str">
        <f t="shared" si="17"/>
        <v>-</v>
      </c>
    </row>
    <row r="347" spans="1:8" x14ac:dyDescent="0.25">
      <c r="A347" s="2" t="s">
        <v>1</v>
      </c>
      <c r="B347" s="9" t="s">
        <v>3747</v>
      </c>
      <c r="C347" t="s">
        <v>4101</v>
      </c>
      <c r="D347" s="11" t="s">
        <v>3747</v>
      </c>
      <c r="E347" s="11" t="s">
        <v>4115</v>
      </c>
      <c r="F347" t="str">
        <f t="shared" si="15"/>
        <v>UPDATE [MAP].[T_TRANS_COST_CODE] SET NEW_COST_CODE_ID = '33-7000', NEW_ITEM_ID = 'Contract Item' WHERE LEGACY_COST_CODE_ID = '33-7000' AND DATA_FOLDER_ID = 'sampl'</v>
      </c>
      <c r="G347" t="str">
        <f t="shared" si="16"/>
        <v>-</v>
      </c>
      <c r="H347" t="str">
        <f t="shared" si="17"/>
        <v>-</v>
      </c>
    </row>
    <row r="348" spans="1:8" x14ac:dyDescent="0.25">
      <c r="A348" s="2" t="s">
        <v>1</v>
      </c>
      <c r="B348" s="9" t="s">
        <v>3748</v>
      </c>
      <c r="C348" t="s">
        <v>4102</v>
      </c>
      <c r="D348" s="11" t="s">
        <v>3748</v>
      </c>
      <c r="E348" s="11" t="s">
        <v>4114</v>
      </c>
      <c r="F348" t="str">
        <f t="shared" si="15"/>
        <v>UPDATE [MAP].[T_TRANS_COST_CODE] SET NEW_COST_CODE_ID = '34-0000', NEW_ITEM_ID = ' ' WHERE LEGACY_COST_CODE_ID = '34-0000' AND DATA_FOLDER_ID = 'sampl'</v>
      </c>
      <c r="G348" t="str">
        <f t="shared" si="16"/>
        <v>-</v>
      </c>
      <c r="H348" t="str">
        <f t="shared" si="17"/>
        <v>-</v>
      </c>
    </row>
    <row r="349" spans="1:8" x14ac:dyDescent="0.25">
      <c r="A349" s="2" t="s">
        <v>1</v>
      </c>
      <c r="B349" s="9" t="s">
        <v>3749</v>
      </c>
      <c r="C349" t="s">
        <v>4103</v>
      </c>
      <c r="D349" s="11" t="s">
        <v>3749</v>
      </c>
      <c r="E349" s="11" t="s">
        <v>4115</v>
      </c>
      <c r="F349" t="str">
        <f t="shared" si="15"/>
        <v>UPDATE [MAP].[T_TRANS_COST_CODE] SET NEW_COST_CODE_ID = '34-1100', NEW_ITEM_ID = 'Contract Item' WHERE LEGACY_COST_CODE_ID = '34-1100' AND DATA_FOLDER_ID = 'sampl'</v>
      </c>
      <c r="G349" t="str">
        <f t="shared" si="16"/>
        <v>-</v>
      </c>
      <c r="H349" t="str">
        <f t="shared" si="17"/>
        <v>-</v>
      </c>
    </row>
    <row r="350" spans="1:8" x14ac:dyDescent="0.25">
      <c r="A350" s="2" t="s">
        <v>1</v>
      </c>
      <c r="B350" s="9" t="s">
        <v>3750</v>
      </c>
      <c r="C350" t="s">
        <v>4104</v>
      </c>
      <c r="D350" s="11" t="s">
        <v>3750</v>
      </c>
      <c r="E350" s="11" t="s">
        <v>4115</v>
      </c>
      <c r="F350" t="str">
        <f t="shared" si="15"/>
        <v>UPDATE [MAP].[T_TRANS_COST_CODE] SET NEW_COST_CODE_ID = '34-1200', NEW_ITEM_ID = 'Contract Item' WHERE LEGACY_COST_CODE_ID = '34-1200' AND DATA_FOLDER_ID = 'sampl'</v>
      </c>
      <c r="G350" t="str">
        <f t="shared" si="16"/>
        <v>-</v>
      </c>
      <c r="H350" t="str">
        <f t="shared" si="17"/>
        <v>-</v>
      </c>
    </row>
    <row r="351" spans="1:8" x14ac:dyDescent="0.25">
      <c r="A351" s="2" t="s">
        <v>1</v>
      </c>
      <c r="B351" s="9" t="s">
        <v>3751</v>
      </c>
      <c r="C351" t="s">
        <v>4105</v>
      </c>
      <c r="D351" s="11" t="s">
        <v>3751</v>
      </c>
      <c r="E351" s="11" t="s">
        <v>4114</v>
      </c>
      <c r="F351" t="str">
        <f t="shared" si="15"/>
        <v>UPDATE [MAP].[T_TRANS_COST_CODE] SET NEW_COST_CODE_ID = '40-0000', NEW_ITEM_ID = ' ' WHERE LEGACY_COST_CODE_ID = '40-0000' AND DATA_FOLDER_ID = 'sampl'</v>
      </c>
      <c r="G351" t="str">
        <f t="shared" si="16"/>
        <v>-</v>
      </c>
      <c r="H351" t="str">
        <f t="shared" si="17"/>
        <v>-</v>
      </c>
    </row>
    <row r="352" spans="1:8" x14ac:dyDescent="0.25">
      <c r="A352" s="2" t="s">
        <v>1</v>
      </c>
      <c r="B352" s="9" t="s">
        <v>3752</v>
      </c>
      <c r="C352" t="s">
        <v>4106</v>
      </c>
      <c r="D352" s="11" t="s">
        <v>3752</v>
      </c>
      <c r="E352" s="11" t="s">
        <v>4115</v>
      </c>
      <c r="F352" t="str">
        <f t="shared" si="15"/>
        <v>UPDATE [MAP].[T_TRANS_COST_CODE] SET NEW_COST_CODE_ID = '40-1000', NEW_ITEM_ID = 'Contract Item' WHERE LEGACY_COST_CODE_ID = '40-1000' AND DATA_FOLDER_ID = 'sampl'</v>
      </c>
      <c r="G352" t="str">
        <f t="shared" si="16"/>
        <v>-</v>
      </c>
      <c r="H352" t="str">
        <f t="shared" si="17"/>
        <v>-</v>
      </c>
    </row>
    <row r="353" spans="1:8" x14ac:dyDescent="0.25">
      <c r="A353" s="2" t="s">
        <v>1</v>
      </c>
      <c r="B353" s="9" t="s">
        <v>3753</v>
      </c>
      <c r="C353" t="s">
        <v>4107</v>
      </c>
      <c r="D353" s="11" t="s">
        <v>3753</v>
      </c>
      <c r="E353" s="11" t="s">
        <v>4114</v>
      </c>
      <c r="F353" t="str">
        <f t="shared" si="15"/>
        <v>UPDATE [MAP].[T_TRANS_COST_CODE] SET NEW_COST_CODE_ID = '41-0000', NEW_ITEM_ID = ' ' WHERE LEGACY_COST_CODE_ID = '41-0000' AND DATA_FOLDER_ID = 'sampl'</v>
      </c>
      <c r="G353" t="str">
        <f t="shared" si="16"/>
        <v>-</v>
      </c>
      <c r="H353" t="str">
        <f t="shared" si="17"/>
        <v>-</v>
      </c>
    </row>
    <row r="354" spans="1:8" x14ac:dyDescent="0.25">
      <c r="A354" s="2" t="s">
        <v>1</v>
      </c>
      <c r="B354" s="9" t="s">
        <v>3754</v>
      </c>
      <c r="C354" t="s">
        <v>4108</v>
      </c>
      <c r="D354" s="11" t="s">
        <v>3754</v>
      </c>
      <c r="E354" s="11" t="s">
        <v>4115</v>
      </c>
      <c r="F354" t="str">
        <f t="shared" si="15"/>
        <v>UPDATE [MAP].[T_TRANS_COST_CODE] SET NEW_COST_CODE_ID = '41-2200', NEW_ITEM_ID = 'Contract Item' WHERE LEGACY_COST_CODE_ID = '41-2200' AND DATA_FOLDER_ID = 'sampl'</v>
      </c>
      <c r="G354" t="str">
        <f t="shared" si="16"/>
        <v>-</v>
      </c>
      <c r="H354" t="str">
        <f t="shared" si="17"/>
        <v>-</v>
      </c>
    </row>
    <row r="355" spans="1:8" x14ac:dyDescent="0.25">
      <c r="A355" s="2" t="s">
        <v>1</v>
      </c>
      <c r="B355" s="9" t="s">
        <v>3755</v>
      </c>
      <c r="C355" t="s">
        <v>4109</v>
      </c>
      <c r="D355" s="11" t="s">
        <v>3755</v>
      </c>
      <c r="E355" s="11" t="s">
        <v>4114</v>
      </c>
      <c r="F355" t="str">
        <f t="shared" si="15"/>
        <v>UPDATE [MAP].[T_TRANS_COST_CODE] SET NEW_COST_CODE_ID = '50-0000', NEW_ITEM_ID = ' ' WHERE LEGACY_COST_CODE_ID = '50-0000' AND DATA_FOLDER_ID = 'sampl'</v>
      </c>
      <c r="G355" t="str">
        <f t="shared" si="16"/>
        <v>-</v>
      </c>
      <c r="H355" t="str">
        <f t="shared" si="17"/>
        <v>-</v>
      </c>
    </row>
    <row r="356" spans="1:8" x14ac:dyDescent="0.25">
      <c r="A356" s="2" t="s">
        <v>1</v>
      </c>
      <c r="B356" s="9" t="s">
        <v>3756</v>
      </c>
      <c r="C356" t="s">
        <v>4110</v>
      </c>
      <c r="D356" s="11" t="s">
        <v>3756</v>
      </c>
      <c r="E356" s="11" t="s">
        <v>4115</v>
      </c>
      <c r="F356" t="str">
        <f t="shared" si="15"/>
        <v>UPDATE [MAP].[T_TRANS_COST_CODE] SET NEW_COST_CODE_ID = 'BC-0000', NEW_ITEM_ID = 'Contract Item' WHERE LEGACY_COST_CODE_ID = 'BC-0000' AND DATA_FOLDER_ID = 'sampl'</v>
      </c>
      <c r="G356" t="str">
        <f t="shared" si="16"/>
        <v>-</v>
      </c>
      <c r="H356" t="str">
        <f t="shared" si="17"/>
        <v>-</v>
      </c>
    </row>
    <row r="357" spans="1:8" x14ac:dyDescent="0.25">
      <c r="A357" s="2" t="s">
        <v>1</v>
      </c>
      <c r="B357" s="9" t="s">
        <v>3757</v>
      </c>
      <c r="E357" s="11" t="s">
        <v>4114</v>
      </c>
      <c r="F357" t="str">
        <f t="shared" si="15"/>
        <v>UPDATE [MAP].[T_TRANS_COST_CODE] SET NEW_COST_CODE_ID = '', NEW_ITEM_ID = ' ' WHERE LEGACY_COST_CODE_ID = 'OB-0000' AND DATA_FOLDER_ID = 'sampl'</v>
      </c>
      <c r="G357" t="str">
        <f t="shared" si="16"/>
        <v>Changed</v>
      </c>
      <c r="H357" t="str">
        <f t="shared" si="17"/>
        <v>-</v>
      </c>
    </row>
    <row r="358" spans="1:8" x14ac:dyDescent="0.25">
      <c r="A358" s="2" t="s">
        <v>1</v>
      </c>
      <c r="B358" s="9" t="s">
        <v>3758</v>
      </c>
      <c r="F358" t="str">
        <f t="shared" si="15"/>
        <v>UPDATE [MAP].[T_TRANS_COST_CODE] SET NEW_COST_CODE_ID = '', NEW_ITEM_ID = '' WHERE LEGACY_COST_CODE_ID = 'OB-2014' AND DATA_FOLDER_ID = 'sampl'</v>
      </c>
      <c r="G358" t="str">
        <f t="shared" si="16"/>
        <v>Changed</v>
      </c>
      <c r="H358" t="str">
        <f t="shared" si="17"/>
        <v>-</v>
      </c>
    </row>
    <row r="359" spans="1:8" x14ac:dyDescent="0.25">
      <c r="A359" s="2" t="s">
        <v>1</v>
      </c>
      <c r="B359" s="9" t="s">
        <v>3759</v>
      </c>
      <c r="C359" t="s">
        <v>4111</v>
      </c>
      <c r="D359" s="11" t="s">
        <v>3759</v>
      </c>
      <c r="F359" t="str">
        <f t="shared" si="15"/>
        <v>UPDATE [MAP].[T_TRANS_COST_CODE] SET NEW_COST_CODE_ID = 'XW-0000', NEW_ITEM_ID = '' WHERE LEGACY_COST_CODE_ID = 'XW-0000' AND DATA_FOLDER_ID = 'sampl'</v>
      </c>
      <c r="G359" t="str">
        <f t="shared" si="16"/>
        <v>-</v>
      </c>
      <c r="H359" t="str">
        <f t="shared" si="17"/>
        <v>-</v>
      </c>
    </row>
  </sheetData>
  <mergeCells count="2">
    <mergeCell ref="D1:E1"/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0241-531A-417F-B787-FB0A881B9E55}">
  <dimension ref="A1:I26"/>
  <sheetViews>
    <sheetView zoomScale="130" zoomScaleNormal="13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.7109375" style="2" bestFit="1" customWidth="1"/>
    <col min="2" max="2" width="12.42578125" style="9" bestFit="1" customWidth="1"/>
    <col min="3" max="3" width="25.28515625" customWidth="1"/>
    <col min="4" max="6" width="13.85546875" style="11" customWidth="1"/>
    <col min="7" max="7" width="33.5703125" customWidth="1"/>
    <col min="8" max="8" width="8.28515625" bestFit="1" customWidth="1"/>
    <col min="9" max="9" width="10" customWidth="1"/>
  </cols>
  <sheetData>
    <row r="1" spans="1:9" x14ac:dyDescent="0.25">
      <c r="A1" s="20" t="str">
        <f>"Legacy ERP: "&amp;Controls!$B$2</f>
        <v>Legacy ERP: Sage 300 CRE</v>
      </c>
      <c r="B1" s="20"/>
      <c r="C1" s="20"/>
      <c r="D1" s="20" t="str">
        <f>"New ERP: "&amp;Controls!$B$3</f>
        <v>New ERP: Sage Intacct</v>
      </c>
      <c r="E1" s="20"/>
      <c r="F1" s="20"/>
    </row>
    <row r="2" spans="1:9" ht="4.9000000000000004" customHeight="1" x14ac:dyDescent="0.25">
      <c r="D2" s="2"/>
      <c r="E2" s="2"/>
      <c r="F2" s="2"/>
    </row>
    <row r="3" spans="1:9" x14ac:dyDescent="0.25">
      <c r="A3" s="8" t="s">
        <v>7</v>
      </c>
      <c r="B3" s="8" t="s">
        <v>4116</v>
      </c>
      <c r="C3" s="8" t="s">
        <v>4239</v>
      </c>
      <c r="D3" s="8" t="s">
        <v>4116</v>
      </c>
      <c r="E3" s="8" t="s">
        <v>4113</v>
      </c>
      <c r="F3" s="8" t="s">
        <v>13</v>
      </c>
      <c r="G3" s="15" t="s">
        <v>4117</v>
      </c>
      <c r="H3" s="16" t="s">
        <v>12</v>
      </c>
      <c r="I3" s="16" t="s">
        <v>2</v>
      </c>
    </row>
    <row r="4" spans="1:9" x14ac:dyDescent="0.25">
      <c r="A4" s="2" t="s">
        <v>1</v>
      </c>
      <c r="B4" s="10" t="s">
        <v>4118</v>
      </c>
      <c r="C4" t="s">
        <v>4141</v>
      </c>
      <c r="D4" s="11" t="s">
        <v>4118</v>
      </c>
      <c r="E4" s="11" t="s">
        <v>4118</v>
      </c>
      <c r="F4" s="11" t="s">
        <v>4164</v>
      </c>
      <c r="G4" t="str">
        <f>"UPDATE "&amp;G$3&amp;" SET NEW_COST_TYPE_ID = '"&amp;D4&amp;"', NEW_ITEM_ID = '"&amp;E4&amp;"', NEW_INTACCT_GL_ACCOUNT = '"&amp;F4&amp;"' WHERE LEGACY_COST_TYPE_ID = '"&amp;B4&amp;"' AND DATA_FOLDER_ID = '"&amp;A4&amp;"'"</f>
        <v>UPDATE [MAP].[T_TRANS_COST_TYPE] SET NEW_COST_TYPE_ID = 'E', NEW_ITEM_ID = 'E', NEW_INTACCT_GL_ACCOUNT = '5205' WHERE LEGACY_COST_TYPE_ID = 'E' AND DATA_FOLDER_ID = 'sampl'</v>
      </c>
      <c r="H4" t="str">
        <f>IF(B4&lt;&gt;D4,"Changed","-")</f>
        <v>-</v>
      </c>
      <c r="I4" t="str">
        <f>IF(B4="","Hide","-")</f>
        <v>-</v>
      </c>
    </row>
    <row r="5" spans="1:9" x14ac:dyDescent="0.25">
      <c r="A5" s="2" t="s">
        <v>1</v>
      </c>
      <c r="B5" s="10" t="s">
        <v>4119</v>
      </c>
      <c r="C5" t="s">
        <v>4142</v>
      </c>
      <c r="D5" s="11" t="s">
        <v>4119</v>
      </c>
      <c r="E5" s="11" t="s">
        <v>4119</v>
      </c>
      <c r="F5" s="11" t="s">
        <v>4165</v>
      </c>
      <c r="G5" t="str">
        <f t="shared" ref="G5:G7" si="0">"UPDATE "&amp;G$3&amp;" SET NEW_COST_TYPE_ID = '"&amp;D5&amp;"', NEW_ITEM_ID = '"&amp;E5&amp;"', NEW_INTACCT_GL_ACCOUNT = '"&amp;F5&amp;"' WHERE LEGACY_COST_TYPE_ID = '"&amp;B5&amp;"' AND DATA_FOLDER_ID = '"&amp;A5&amp;"'"</f>
        <v>UPDATE [MAP].[T_TRANS_COST_TYPE] SET NEW_COST_TYPE_ID = 'EO', NEW_ITEM_ID = 'EO', NEW_INTACCT_GL_ACCOUNT = '5200' WHERE LEGACY_COST_TYPE_ID = 'EO' AND DATA_FOLDER_ID = 'sampl'</v>
      </c>
      <c r="H5" t="str">
        <f t="shared" ref="H5:H7" si="1">IF(B5&lt;&gt;D5,"Changed","-")</f>
        <v>-</v>
      </c>
      <c r="I5" t="str">
        <f t="shared" ref="I5:I7" si="2">IF(B5="","Hide","-")</f>
        <v>-</v>
      </c>
    </row>
    <row r="6" spans="1:9" x14ac:dyDescent="0.25">
      <c r="A6" s="2" t="s">
        <v>1</v>
      </c>
      <c r="B6" s="9" t="s">
        <v>4120</v>
      </c>
      <c r="C6" t="s">
        <v>4143</v>
      </c>
      <c r="D6" s="11" t="s">
        <v>4120</v>
      </c>
      <c r="E6" s="11" t="s">
        <v>4120</v>
      </c>
      <c r="F6" s="11" t="s">
        <v>4166</v>
      </c>
      <c r="G6" t="str">
        <f t="shared" si="0"/>
        <v>UPDATE [MAP].[T_TRANS_COST_TYPE] SET NEW_COST_TYPE_ID = 'FT', NEW_ITEM_ID = 'FT', NEW_INTACCT_GL_ACCOUNT = '5100' WHERE LEGACY_COST_TYPE_ID = 'FT' AND DATA_FOLDER_ID = 'sampl'</v>
      </c>
      <c r="H6" t="str">
        <f t="shared" si="1"/>
        <v>-</v>
      </c>
      <c r="I6" t="str">
        <f t="shared" si="2"/>
        <v>-</v>
      </c>
    </row>
    <row r="7" spans="1:9" x14ac:dyDescent="0.25">
      <c r="A7" s="2" t="s">
        <v>1</v>
      </c>
      <c r="B7" s="9" t="s">
        <v>4121</v>
      </c>
      <c r="C7" t="s">
        <v>4144</v>
      </c>
      <c r="D7" s="11" t="s">
        <v>4121</v>
      </c>
      <c r="E7" s="11" t="s">
        <v>4125</v>
      </c>
      <c r="F7" s="11" t="s">
        <v>4167</v>
      </c>
      <c r="G7" t="str">
        <f t="shared" si="0"/>
        <v>UPDATE [MAP].[T_TRANS_COST_TYPE] SET NEW_COST_TYPE_ID = 'IDE', NEW_ITEM_ID = 'L', NEW_INTACCT_GL_ACCOUNT = '5020' WHERE LEGACY_COST_TYPE_ID = 'IDE' AND DATA_FOLDER_ID = 'sampl'</v>
      </c>
      <c r="H7" t="str">
        <f t="shared" si="1"/>
        <v>-</v>
      </c>
      <c r="I7" t="str">
        <f t="shared" si="2"/>
        <v>-</v>
      </c>
    </row>
    <row r="8" spans="1:9" x14ac:dyDescent="0.25">
      <c r="A8" s="2" t="s">
        <v>1</v>
      </c>
      <c r="B8" s="9" t="s">
        <v>4122</v>
      </c>
      <c r="C8" t="s">
        <v>4145</v>
      </c>
      <c r="D8" s="11" t="s">
        <v>4122</v>
      </c>
      <c r="E8" s="11" t="s">
        <v>4125</v>
      </c>
      <c r="F8" s="11" t="s">
        <v>4167</v>
      </c>
      <c r="G8" t="str">
        <f t="shared" ref="G8:G26" si="3">"UPDATE "&amp;G$3&amp;" SET NEW_COST_TYPE_ID = '"&amp;D8&amp;"', NEW_ITEM_ID = '"&amp;E8&amp;"', NEW_INTACCT_GL_ACCOUNT = '"&amp;F8&amp;"' WHERE LEGACY_COST_TYPE_ID = '"&amp;B8&amp;"' AND DATA_FOLDER_ID = '"&amp;A8&amp;"'"</f>
        <v>UPDATE [MAP].[T_TRANS_COST_TYPE] SET NEW_COST_TYPE_ID = 'IDI', NEW_ITEM_ID = 'L', NEW_INTACCT_GL_ACCOUNT = '5020' WHERE LEGACY_COST_TYPE_ID = 'IDI' AND DATA_FOLDER_ID = 'sampl'</v>
      </c>
      <c r="H8" t="str">
        <f t="shared" ref="H8:H26" si="4">IF(B8&lt;&gt;D8,"Changed","-")</f>
        <v>-</v>
      </c>
      <c r="I8" t="str">
        <f t="shared" ref="I8:I26" si="5">IF(B8="","Hide","-")</f>
        <v>-</v>
      </c>
    </row>
    <row r="9" spans="1:9" x14ac:dyDescent="0.25">
      <c r="A9" s="2" t="s">
        <v>1</v>
      </c>
      <c r="B9" s="9" t="s">
        <v>4123</v>
      </c>
      <c r="C9" t="s">
        <v>4146</v>
      </c>
      <c r="D9" s="11" t="s">
        <v>4123</v>
      </c>
      <c r="E9" s="11" t="s">
        <v>4125</v>
      </c>
      <c r="F9" s="11" t="s">
        <v>4167</v>
      </c>
      <c r="G9" t="str">
        <f t="shared" si="3"/>
        <v>UPDATE [MAP].[T_TRANS_COST_TYPE] SET NEW_COST_TYPE_ID = 'IHE', NEW_ITEM_ID = 'L', NEW_INTACCT_GL_ACCOUNT = '5020' WHERE LEGACY_COST_TYPE_ID = 'IHE' AND DATA_FOLDER_ID = 'sampl'</v>
      </c>
      <c r="H9" t="str">
        <f t="shared" si="4"/>
        <v>-</v>
      </c>
      <c r="I9" t="str">
        <f t="shared" si="5"/>
        <v>-</v>
      </c>
    </row>
    <row r="10" spans="1:9" x14ac:dyDescent="0.25">
      <c r="A10" s="2" t="s">
        <v>1</v>
      </c>
      <c r="B10" s="9" t="s">
        <v>4124</v>
      </c>
      <c r="C10" t="s">
        <v>4147</v>
      </c>
      <c r="D10" s="11" t="s">
        <v>4124</v>
      </c>
      <c r="E10" s="11" t="s">
        <v>4125</v>
      </c>
      <c r="F10" s="11" t="s">
        <v>4167</v>
      </c>
      <c r="G10" t="str">
        <f t="shared" si="3"/>
        <v>UPDATE [MAP].[T_TRANS_COST_TYPE] SET NEW_COST_TYPE_ID = 'ILI', NEW_ITEM_ID = 'L', NEW_INTACCT_GL_ACCOUNT = '5020' WHERE LEGACY_COST_TYPE_ID = 'ILI' AND DATA_FOLDER_ID = 'sampl'</v>
      </c>
      <c r="H10" t="str">
        <f t="shared" si="4"/>
        <v>-</v>
      </c>
      <c r="I10" t="str">
        <f t="shared" si="5"/>
        <v>-</v>
      </c>
    </row>
    <row r="11" spans="1:9" x14ac:dyDescent="0.25">
      <c r="A11" s="2" t="s">
        <v>1</v>
      </c>
      <c r="B11" s="9" t="s">
        <v>4125</v>
      </c>
      <c r="C11" t="s">
        <v>4148</v>
      </c>
      <c r="D11" s="11" t="s">
        <v>4125</v>
      </c>
      <c r="E11" s="11" t="s">
        <v>4125</v>
      </c>
      <c r="F11" s="11" t="s">
        <v>4168</v>
      </c>
      <c r="G11" t="str">
        <f t="shared" si="3"/>
        <v>UPDATE [MAP].[T_TRANS_COST_TYPE] SET NEW_COST_TYPE_ID = 'L', NEW_ITEM_ID = 'L', NEW_INTACCT_GL_ACCOUNT = '5000' WHERE LEGACY_COST_TYPE_ID = 'L' AND DATA_FOLDER_ID = 'sampl'</v>
      </c>
      <c r="H11" t="str">
        <f t="shared" si="4"/>
        <v>-</v>
      </c>
      <c r="I11" t="str">
        <f t="shared" si="5"/>
        <v>-</v>
      </c>
    </row>
    <row r="12" spans="1:9" x14ac:dyDescent="0.25">
      <c r="A12" s="2" t="s">
        <v>1</v>
      </c>
      <c r="B12" s="9" t="s">
        <v>4126</v>
      </c>
      <c r="C12" t="s">
        <v>4149</v>
      </c>
      <c r="D12" s="11" t="s">
        <v>4126</v>
      </c>
      <c r="E12" s="11" t="s">
        <v>4125</v>
      </c>
      <c r="F12" s="11" t="s">
        <v>4169</v>
      </c>
      <c r="G12" t="str">
        <f t="shared" si="3"/>
        <v>UPDATE [MAP].[T_TRANS_COST_TYPE] SET NEW_COST_TYPE_ID = 'LFT', NEW_ITEM_ID = 'L', NEW_INTACCT_GL_ACCOUNT = '5005' WHERE LEGACY_COST_TYPE_ID = 'LFT' AND DATA_FOLDER_ID = 'sampl'</v>
      </c>
      <c r="H12" t="str">
        <f t="shared" si="4"/>
        <v>-</v>
      </c>
      <c r="I12" t="str">
        <f t="shared" si="5"/>
        <v>-</v>
      </c>
    </row>
    <row r="13" spans="1:9" x14ac:dyDescent="0.25">
      <c r="A13" s="2" t="s">
        <v>1</v>
      </c>
      <c r="B13" s="9" t="s">
        <v>4127</v>
      </c>
      <c r="C13" t="s">
        <v>4150</v>
      </c>
      <c r="D13" s="11" t="s">
        <v>4127</v>
      </c>
      <c r="E13" s="11" t="s">
        <v>4125</v>
      </c>
      <c r="F13" s="11" t="s">
        <v>4169</v>
      </c>
      <c r="G13" t="str">
        <f t="shared" si="3"/>
        <v>UPDATE [MAP].[T_TRANS_COST_TYPE] SET NEW_COST_TYPE_ID = 'LFU', NEW_ITEM_ID = 'L', NEW_INTACCT_GL_ACCOUNT = '5005' WHERE LEGACY_COST_TYPE_ID = 'LFU' AND DATA_FOLDER_ID = 'sampl'</v>
      </c>
      <c r="H13" t="str">
        <f t="shared" si="4"/>
        <v>-</v>
      </c>
      <c r="I13" t="str">
        <f t="shared" si="5"/>
        <v>-</v>
      </c>
    </row>
    <row r="14" spans="1:9" x14ac:dyDescent="0.25">
      <c r="A14" s="2" t="s">
        <v>1</v>
      </c>
      <c r="B14" s="9" t="s">
        <v>4128</v>
      </c>
      <c r="C14" t="s">
        <v>4151</v>
      </c>
      <c r="D14" s="11" t="s">
        <v>4128</v>
      </c>
      <c r="E14" s="11" t="s">
        <v>4125</v>
      </c>
      <c r="F14" s="11" t="s">
        <v>4170</v>
      </c>
      <c r="G14" t="str">
        <f t="shared" si="3"/>
        <v>UPDATE [MAP].[T_TRANS_COST_TYPE] SET NEW_COST_TYPE_ID = 'LPS', NEW_ITEM_ID = 'L', NEW_INTACCT_GL_ACCOUNT = '5010' WHERE LEGACY_COST_TYPE_ID = 'LPS' AND DATA_FOLDER_ID = 'sampl'</v>
      </c>
      <c r="H14" t="str">
        <f t="shared" si="4"/>
        <v>-</v>
      </c>
      <c r="I14" t="str">
        <f t="shared" si="5"/>
        <v>-</v>
      </c>
    </row>
    <row r="15" spans="1:9" x14ac:dyDescent="0.25">
      <c r="A15" s="2" t="s">
        <v>1</v>
      </c>
      <c r="B15" s="9" t="s">
        <v>4129</v>
      </c>
      <c r="C15" t="s">
        <v>4152</v>
      </c>
      <c r="D15" s="11" t="s">
        <v>4129</v>
      </c>
      <c r="E15" s="11" t="s">
        <v>4125</v>
      </c>
      <c r="F15" s="11" t="s">
        <v>4169</v>
      </c>
      <c r="G15" t="str">
        <f t="shared" si="3"/>
        <v>UPDATE [MAP].[T_TRANS_COST_TYPE] SET NEW_COST_TYPE_ID = 'LSD', NEW_ITEM_ID = 'L', NEW_INTACCT_GL_ACCOUNT = '5005' WHERE LEGACY_COST_TYPE_ID = 'LSD' AND DATA_FOLDER_ID = 'sampl'</v>
      </c>
      <c r="H15" t="str">
        <f t="shared" si="4"/>
        <v>-</v>
      </c>
      <c r="I15" t="str">
        <f t="shared" si="5"/>
        <v>-</v>
      </c>
    </row>
    <row r="16" spans="1:9" x14ac:dyDescent="0.25">
      <c r="A16" s="2" t="s">
        <v>1</v>
      </c>
      <c r="B16" s="9" t="s">
        <v>4130</v>
      </c>
      <c r="C16" t="s">
        <v>4153</v>
      </c>
      <c r="D16" s="11" t="s">
        <v>4130</v>
      </c>
      <c r="E16" s="11" t="s">
        <v>4125</v>
      </c>
      <c r="F16" s="11" t="s">
        <v>4170</v>
      </c>
      <c r="G16" t="str">
        <f t="shared" si="3"/>
        <v>UPDATE [MAP].[T_TRANS_COST_TYPE] SET NEW_COST_TYPE_ID = 'LSH', NEW_ITEM_ID = 'L', NEW_INTACCT_GL_ACCOUNT = '5010' WHERE LEGACY_COST_TYPE_ID = 'LSH' AND DATA_FOLDER_ID = 'sampl'</v>
      </c>
      <c r="H16" t="str">
        <f t="shared" si="4"/>
        <v>-</v>
      </c>
      <c r="I16" t="str">
        <f t="shared" si="5"/>
        <v>-</v>
      </c>
    </row>
    <row r="17" spans="1:9" x14ac:dyDescent="0.25">
      <c r="A17" s="2" t="s">
        <v>1</v>
      </c>
      <c r="B17" s="9" t="s">
        <v>4131</v>
      </c>
      <c r="C17" t="s">
        <v>4154</v>
      </c>
      <c r="D17" s="11" t="s">
        <v>4131</v>
      </c>
      <c r="E17" s="11" t="s">
        <v>4125</v>
      </c>
      <c r="F17" s="11" t="s">
        <v>4169</v>
      </c>
      <c r="G17" t="str">
        <f t="shared" si="3"/>
        <v>UPDATE [MAP].[T_TRANS_COST_TYPE] SET NEW_COST_TYPE_ID = 'LSU', NEW_ITEM_ID = 'L', NEW_INTACCT_GL_ACCOUNT = '5005' WHERE LEGACY_COST_TYPE_ID = 'LSU' AND DATA_FOLDER_ID = 'sampl'</v>
      </c>
      <c r="H17" t="str">
        <f t="shared" si="4"/>
        <v>-</v>
      </c>
      <c r="I17" t="str">
        <f t="shared" si="5"/>
        <v>-</v>
      </c>
    </row>
    <row r="18" spans="1:9" x14ac:dyDescent="0.25">
      <c r="A18" s="2" t="s">
        <v>1</v>
      </c>
      <c r="B18" s="9" t="s">
        <v>4132</v>
      </c>
      <c r="C18" t="s">
        <v>4155</v>
      </c>
      <c r="D18" s="11" t="s">
        <v>4132</v>
      </c>
      <c r="E18" s="11" t="s">
        <v>4125</v>
      </c>
      <c r="F18" s="11" t="s">
        <v>4171</v>
      </c>
      <c r="G18" t="str">
        <f t="shared" si="3"/>
        <v>UPDATE [MAP].[T_TRANS_COST_TYPE] SET NEW_COST_TYPE_ID = 'LTC', NEW_ITEM_ID = 'L', NEW_INTACCT_GL_ACCOUNT = '5220' WHERE LEGACY_COST_TYPE_ID = 'LTC' AND DATA_FOLDER_ID = 'sampl'</v>
      </c>
      <c r="H18" t="str">
        <f t="shared" si="4"/>
        <v>-</v>
      </c>
      <c r="I18" t="str">
        <f t="shared" si="5"/>
        <v>-</v>
      </c>
    </row>
    <row r="19" spans="1:9" x14ac:dyDescent="0.25">
      <c r="A19" s="2" t="s">
        <v>1</v>
      </c>
      <c r="B19" s="9" t="s">
        <v>4133</v>
      </c>
      <c r="C19" t="s">
        <v>4156</v>
      </c>
      <c r="D19" s="11" t="s">
        <v>4133</v>
      </c>
      <c r="E19" s="11" t="s">
        <v>4133</v>
      </c>
      <c r="F19" s="11" t="s">
        <v>4172</v>
      </c>
      <c r="G19" t="str">
        <f t="shared" si="3"/>
        <v>UPDATE [MAP].[T_TRANS_COST_TYPE] SET NEW_COST_TYPE_ID = 'LU', NEW_ITEM_ID = 'LU', NEW_INTACCT_GL_ACCOUNT = '5015' WHERE LEGACY_COST_TYPE_ID = 'LU' AND DATA_FOLDER_ID = 'sampl'</v>
      </c>
      <c r="H19" t="str">
        <f t="shared" si="4"/>
        <v>-</v>
      </c>
      <c r="I19" t="str">
        <f t="shared" si="5"/>
        <v>-</v>
      </c>
    </row>
    <row r="20" spans="1:9" x14ac:dyDescent="0.25">
      <c r="A20" s="2" t="s">
        <v>1</v>
      </c>
      <c r="B20" s="9" t="s">
        <v>4134</v>
      </c>
      <c r="C20" t="s">
        <v>4157</v>
      </c>
      <c r="D20" s="11" t="s">
        <v>4134</v>
      </c>
      <c r="E20" s="11" t="s">
        <v>4125</v>
      </c>
      <c r="F20" s="11" t="s">
        <v>4172</v>
      </c>
      <c r="G20" t="str">
        <f t="shared" si="3"/>
        <v>UPDATE [MAP].[T_TRANS_COST_TYPE] SET NEW_COST_TYPE_ID = 'LUB', NEW_ITEM_ID = 'L', NEW_INTACCT_GL_ACCOUNT = '5015' WHERE LEGACY_COST_TYPE_ID = 'LUB' AND DATA_FOLDER_ID = 'sampl'</v>
      </c>
      <c r="H20" t="str">
        <f t="shared" si="4"/>
        <v>-</v>
      </c>
      <c r="I20" t="str">
        <f t="shared" si="5"/>
        <v>-</v>
      </c>
    </row>
    <row r="21" spans="1:9" x14ac:dyDescent="0.25">
      <c r="A21" s="2" t="s">
        <v>1</v>
      </c>
      <c r="B21" s="9" t="s">
        <v>4135</v>
      </c>
      <c r="C21" t="s">
        <v>4158</v>
      </c>
      <c r="D21" s="11" t="s">
        <v>4135</v>
      </c>
      <c r="E21" s="11" t="s">
        <v>4125</v>
      </c>
      <c r="F21" s="11" t="s">
        <v>4173</v>
      </c>
      <c r="G21" t="str">
        <f t="shared" si="3"/>
        <v>UPDATE [MAP].[T_TRANS_COST_TYPE] SET NEW_COST_TYPE_ID = 'LWC', NEW_ITEM_ID = 'L', NEW_INTACCT_GL_ACCOUNT = '5025' WHERE LEGACY_COST_TYPE_ID = 'LWC' AND DATA_FOLDER_ID = 'sampl'</v>
      </c>
      <c r="H21" t="str">
        <f t="shared" si="4"/>
        <v>-</v>
      </c>
      <c r="I21" t="str">
        <f t="shared" si="5"/>
        <v>-</v>
      </c>
    </row>
    <row r="22" spans="1:9" x14ac:dyDescent="0.25">
      <c r="A22" s="2" t="s">
        <v>1</v>
      </c>
      <c r="B22" s="9" t="s">
        <v>4136</v>
      </c>
      <c r="C22" t="s">
        <v>4159</v>
      </c>
      <c r="D22" s="11" t="s">
        <v>4136</v>
      </c>
      <c r="E22" s="11" t="s">
        <v>4125</v>
      </c>
      <c r="F22" s="11" t="s">
        <v>4169</v>
      </c>
      <c r="G22" t="str">
        <f t="shared" si="3"/>
        <v>UPDATE [MAP].[T_TRANS_COST_TYPE] SET NEW_COST_TYPE_ID = 'LWF', NEW_ITEM_ID = 'L', NEW_INTACCT_GL_ACCOUNT = '5005' WHERE LEGACY_COST_TYPE_ID = 'LWF' AND DATA_FOLDER_ID = 'sampl'</v>
      </c>
      <c r="H22" t="str">
        <f t="shared" si="4"/>
        <v>-</v>
      </c>
      <c r="I22" t="str">
        <f t="shared" si="5"/>
        <v>-</v>
      </c>
    </row>
    <row r="23" spans="1:9" x14ac:dyDescent="0.25">
      <c r="A23" s="2" t="s">
        <v>1</v>
      </c>
      <c r="B23" s="9" t="s">
        <v>4137</v>
      </c>
      <c r="C23" t="s">
        <v>4160</v>
      </c>
      <c r="D23" s="11" t="s">
        <v>4137</v>
      </c>
      <c r="E23" s="11" t="s">
        <v>4137</v>
      </c>
      <c r="F23" s="11" t="s">
        <v>4166</v>
      </c>
      <c r="G23" t="str">
        <f t="shared" si="3"/>
        <v>UPDATE [MAP].[T_TRANS_COST_TYPE] SET NEW_COST_TYPE_ID = 'M', NEW_ITEM_ID = 'M', NEW_INTACCT_GL_ACCOUNT = '5100' WHERE LEGACY_COST_TYPE_ID = 'M' AND DATA_FOLDER_ID = 'sampl'</v>
      </c>
      <c r="H23" t="str">
        <f t="shared" si="4"/>
        <v>-</v>
      </c>
      <c r="I23" t="str">
        <f t="shared" si="5"/>
        <v>-</v>
      </c>
    </row>
    <row r="24" spans="1:9" x14ac:dyDescent="0.25">
      <c r="A24" s="2" t="s">
        <v>1</v>
      </c>
      <c r="B24" s="9" t="s">
        <v>4138</v>
      </c>
      <c r="C24" t="s">
        <v>4161</v>
      </c>
      <c r="D24" s="11" t="s">
        <v>4138</v>
      </c>
      <c r="E24" s="11" t="s">
        <v>4138</v>
      </c>
      <c r="F24" s="11" t="s">
        <v>4174</v>
      </c>
      <c r="G24" t="str">
        <f t="shared" si="3"/>
        <v>UPDATE [MAP].[T_TRANS_COST_TYPE] SET NEW_COST_TYPE_ID = 'O', NEW_ITEM_ID = 'O', NEW_INTACCT_GL_ACCOUNT = '5105' WHERE LEGACY_COST_TYPE_ID = 'O' AND DATA_FOLDER_ID = 'sampl'</v>
      </c>
      <c r="H24" t="str">
        <f t="shared" si="4"/>
        <v>-</v>
      </c>
      <c r="I24" t="str">
        <f t="shared" si="5"/>
        <v>-</v>
      </c>
    </row>
    <row r="25" spans="1:9" x14ac:dyDescent="0.25">
      <c r="A25" s="2" t="s">
        <v>1</v>
      </c>
      <c r="B25" s="9" t="s">
        <v>4139</v>
      </c>
      <c r="C25" t="s">
        <v>4162</v>
      </c>
      <c r="D25" s="11" t="s">
        <v>4139</v>
      </c>
      <c r="E25" s="11" t="s">
        <v>4139</v>
      </c>
      <c r="F25" s="11" t="s">
        <v>4166</v>
      </c>
      <c r="G25" t="str">
        <f t="shared" si="3"/>
        <v>UPDATE [MAP].[T_TRANS_COST_TYPE] SET NEW_COST_TYPE_ID = 'P', NEW_ITEM_ID = 'P', NEW_INTACCT_GL_ACCOUNT = '5100' WHERE LEGACY_COST_TYPE_ID = 'P' AND DATA_FOLDER_ID = 'sampl'</v>
      </c>
      <c r="H25" t="str">
        <f t="shared" si="4"/>
        <v>-</v>
      </c>
      <c r="I25" t="str">
        <f t="shared" si="5"/>
        <v>-</v>
      </c>
    </row>
    <row r="26" spans="1:9" x14ac:dyDescent="0.25">
      <c r="A26" s="2" t="s">
        <v>1</v>
      </c>
      <c r="B26" s="9" t="s">
        <v>4140</v>
      </c>
      <c r="C26" t="s">
        <v>4163</v>
      </c>
      <c r="D26" s="11" t="s">
        <v>4140</v>
      </c>
      <c r="E26" s="11" t="s">
        <v>4140</v>
      </c>
      <c r="F26" s="11" t="s">
        <v>4175</v>
      </c>
      <c r="G26" t="str">
        <f t="shared" si="3"/>
        <v>UPDATE [MAP].[T_TRANS_COST_TYPE] SET NEW_COST_TYPE_ID = 'S', NEW_ITEM_ID = 'S', NEW_INTACCT_GL_ACCOUNT = '5110' WHERE LEGACY_COST_TYPE_ID = 'S' AND DATA_FOLDER_ID = 'sampl'</v>
      </c>
      <c r="H26" t="str">
        <f t="shared" si="4"/>
        <v>-</v>
      </c>
      <c r="I26" t="str">
        <f t="shared" si="5"/>
        <v>-</v>
      </c>
    </row>
  </sheetData>
  <mergeCells count="2">
    <mergeCell ref="D1:F1"/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C044-EEEF-47D6-B4C2-249EFD5CC27D}">
  <dimension ref="A1:G6"/>
  <sheetViews>
    <sheetView zoomScale="130" zoomScaleNormal="13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.7109375" style="2" bestFit="1" customWidth="1"/>
    <col min="2" max="2" width="12.42578125" style="9" bestFit="1" customWidth="1"/>
    <col min="3" max="3" width="25.28515625" customWidth="1"/>
    <col min="4" max="4" width="24.85546875" style="5" bestFit="1" customWidth="1"/>
    <col min="5" max="5" width="33.5703125" customWidth="1"/>
    <col min="6" max="6" width="8.28515625" bestFit="1" customWidth="1"/>
    <col min="7" max="7" width="10" customWidth="1"/>
  </cols>
  <sheetData>
    <row r="1" spans="1:7" x14ac:dyDescent="0.25">
      <c r="A1" s="20" t="str">
        <f>"Legacy ERP: "&amp;Controls!$B$2</f>
        <v>Legacy ERP: Sage 300 CRE</v>
      </c>
      <c r="B1" s="20"/>
      <c r="C1" s="20"/>
      <c r="D1" s="3" t="str">
        <f>"New ERP: "&amp;Controls!$B$3</f>
        <v>New ERP: Sage Intacct</v>
      </c>
    </row>
    <row r="2" spans="1:7" ht="4.9000000000000004" customHeight="1" x14ac:dyDescent="0.25">
      <c r="D2" s="2"/>
    </row>
    <row r="3" spans="1:7" x14ac:dyDescent="0.25">
      <c r="A3" s="8" t="s">
        <v>7</v>
      </c>
      <c r="B3" s="8" t="s">
        <v>4176</v>
      </c>
      <c r="C3" s="8" t="s">
        <v>4240</v>
      </c>
      <c r="D3" s="8" t="s">
        <v>4176</v>
      </c>
      <c r="E3" s="15" t="s">
        <v>4177</v>
      </c>
      <c r="F3" s="16" t="s">
        <v>12</v>
      </c>
      <c r="G3" s="16" t="s">
        <v>2</v>
      </c>
    </row>
    <row r="4" spans="1:7" x14ac:dyDescent="0.25">
      <c r="A4" s="2" t="s">
        <v>1</v>
      </c>
      <c r="B4" s="10" t="s">
        <v>4178</v>
      </c>
      <c r="C4" t="s">
        <v>4181</v>
      </c>
      <c r="D4" s="5" t="s">
        <v>4184</v>
      </c>
      <c r="E4" t="str">
        <f>"UPDATE "&amp;$E$3&amp;" SET NEW_EMPLOYEE_ID = '"&amp;D4&amp;"' WHERE LEGACY_EMPLOYEE_ID = '"&amp;B4&amp;"' AND DATA_FOLDER_ID = '"&amp;$A4&amp;"'"</f>
        <v>UPDATE [MAP].[T_TRANS_EMPLOYEE] SET NEW_EMPLOYEE_ID = 'E0001' WHERE LEGACY_EMPLOYEE_ID = 'EE1' AND DATA_FOLDER_ID = 'sampl'</v>
      </c>
      <c r="F4" t="str">
        <f>IF(B4&lt;&gt;D4,"Changed","-")</f>
        <v>Changed</v>
      </c>
      <c r="G4" t="str">
        <f>IF(B4="","Hide","-")</f>
        <v>-</v>
      </c>
    </row>
    <row r="5" spans="1:7" x14ac:dyDescent="0.25">
      <c r="A5" s="2" t="s">
        <v>1</v>
      </c>
      <c r="B5" s="10" t="s">
        <v>4179</v>
      </c>
      <c r="C5" t="s">
        <v>4182</v>
      </c>
      <c r="D5" s="5" t="s">
        <v>4185</v>
      </c>
      <c r="E5" t="str">
        <f t="shared" ref="E5:E6" si="0">"UPDATE "&amp;$E$3&amp;" SET NEW_EMPLOYEE_ID = '"&amp;D5&amp;"' WHERE LEGACY_EMPLOYEE_ID = '"&amp;B5&amp;"' AND DATA_FOLDER_ID = '"&amp;$A5&amp;"'"</f>
        <v>UPDATE [MAP].[T_TRANS_EMPLOYEE] SET NEW_EMPLOYEE_ID = 'E0002' WHERE LEGACY_EMPLOYEE_ID = 'EE2' AND DATA_FOLDER_ID = 'sampl'</v>
      </c>
      <c r="F5" t="str">
        <f t="shared" ref="F5:F6" si="1">IF(B5&lt;&gt;D5,"Changed","-")</f>
        <v>Changed</v>
      </c>
      <c r="G5" t="str">
        <f t="shared" ref="G5:G6" si="2">IF(B5="","Hide","-")</f>
        <v>-</v>
      </c>
    </row>
    <row r="6" spans="1:7" x14ac:dyDescent="0.25">
      <c r="A6" s="2" t="s">
        <v>1</v>
      </c>
      <c r="B6" s="9" t="s">
        <v>4180</v>
      </c>
      <c r="C6" t="s">
        <v>4183</v>
      </c>
      <c r="D6" s="5" t="s">
        <v>4186</v>
      </c>
      <c r="E6" t="str">
        <f t="shared" si="0"/>
        <v>UPDATE [MAP].[T_TRANS_EMPLOYEE] SET NEW_EMPLOYEE_ID = 'E0003' WHERE LEGACY_EMPLOYEE_ID = 'EE3' AND DATA_FOLDER_ID = 'sampl'</v>
      </c>
      <c r="F6" t="str">
        <f t="shared" si="1"/>
        <v>Changed</v>
      </c>
      <c r="G6" t="str">
        <f t="shared" si="2"/>
        <v>-</v>
      </c>
    </row>
  </sheetData>
  <mergeCells count="1">
    <mergeCell ref="A1:C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B1AD-A0B4-4C3F-9AD8-66243A884A56}">
  <dimension ref="A1:G6"/>
  <sheetViews>
    <sheetView zoomScale="130" zoomScaleNormal="13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.7109375" style="2" bestFit="1" customWidth="1"/>
    <col min="2" max="2" width="12.42578125" style="9" bestFit="1" customWidth="1"/>
    <col min="3" max="3" width="25.28515625" customWidth="1"/>
    <col min="4" max="4" width="24.85546875" style="5" bestFit="1" customWidth="1"/>
    <col min="5" max="5" width="33.5703125" customWidth="1"/>
    <col min="6" max="6" width="8.28515625" bestFit="1" customWidth="1"/>
    <col min="7" max="7" width="10" customWidth="1"/>
  </cols>
  <sheetData>
    <row r="1" spans="1:7" x14ac:dyDescent="0.25">
      <c r="A1" s="20" t="str">
        <f>"Legacy ERP: "&amp;Controls!$B$2</f>
        <v>Legacy ERP: Sage 300 CRE</v>
      </c>
      <c r="B1" s="20"/>
      <c r="C1" s="20"/>
      <c r="D1" s="3" t="str">
        <f>"New ERP: "&amp;Controls!$B$3</f>
        <v>New ERP: Sage Intacct</v>
      </c>
    </row>
    <row r="2" spans="1:7" ht="4.9000000000000004" customHeight="1" x14ac:dyDescent="0.25">
      <c r="D2" s="2"/>
    </row>
    <row r="3" spans="1:7" x14ac:dyDescent="0.25">
      <c r="A3" s="8" t="s">
        <v>7</v>
      </c>
      <c r="B3" s="8" t="s">
        <v>4187</v>
      </c>
      <c r="C3" s="8" t="s">
        <v>4241</v>
      </c>
      <c r="D3" s="8" t="s">
        <v>4187</v>
      </c>
      <c r="E3" s="15" t="s">
        <v>4197</v>
      </c>
      <c r="F3" s="16" t="s">
        <v>12</v>
      </c>
      <c r="G3" s="16" t="s">
        <v>2</v>
      </c>
    </row>
    <row r="4" spans="1:7" x14ac:dyDescent="0.25">
      <c r="A4" s="2" t="s">
        <v>1</v>
      </c>
      <c r="B4" s="10" t="s">
        <v>4188</v>
      </c>
      <c r="C4" t="s">
        <v>4191</v>
      </c>
      <c r="D4" s="5" t="s">
        <v>4194</v>
      </c>
      <c r="E4" t="str">
        <f>"UPDATE "&amp;$E$3&amp;" SET NEW_ITEM_ID = '"&amp;D4&amp;"' WHERE LEGACY_ITEM_ID = '"&amp;B4&amp;"' AND DATA_FOLDER_ID = '"&amp;$A4&amp;"'"</f>
        <v>UPDATE [MAP].[T_TRANS_ITEM] SET NEW_ITEM_ID = 'ITM-001' WHERE LEGACY_ITEM_ID = '00123546' AND DATA_FOLDER_ID = 'sampl'</v>
      </c>
      <c r="F4" t="str">
        <f>IF(B4&lt;&gt;D4,"Changed","-")</f>
        <v>Changed</v>
      </c>
      <c r="G4" t="str">
        <f>IF(B4="","Hide","-")</f>
        <v>-</v>
      </c>
    </row>
    <row r="5" spans="1:7" x14ac:dyDescent="0.25">
      <c r="A5" s="2" t="s">
        <v>1</v>
      </c>
      <c r="B5" s="10" t="s">
        <v>4189</v>
      </c>
      <c r="C5" t="s">
        <v>4192</v>
      </c>
      <c r="D5" s="5" t="s">
        <v>4195</v>
      </c>
      <c r="E5" t="str">
        <f t="shared" ref="E5:E6" si="0">"UPDATE "&amp;$E$3&amp;" SET NEW_ITEM_ID = '"&amp;D5&amp;"' WHERE LEGACY_ITEM_ID = '"&amp;B5&amp;"' AND DATA_FOLDER_ID = '"&amp;$A5&amp;"'"</f>
        <v>UPDATE [MAP].[T_TRANS_ITEM] SET NEW_ITEM_ID = 'ITM-002' WHERE LEGACY_ITEM_ID = '00123567' AND DATA_FOLDER_ID = 'sampl'</v>
      </c>
      <c r="F5" t="str">
        <f t="shared" ref="F5:F6" si="1">IF(B5&lt;&gt;D5,"Changed","-")</f>
        <v>Changed</v>
      </c>
      <c r="G5" t="str">
        <f t="shared" ref="G5:G6" si="2">IF(B5="","Hide","-")</f>
        <v>-</v>
      </c>
    </row>
    <row r="6" spans="1:7" x14ac:dyDescent="0.25">
      <c r="A6" s="2" t="s">
        <v>1</v>
      </c>
      <c r="B6" s="9" t="s">
        <v>4190</v>
      </c>
      <c r="C6" t="s">
        <v>4193</v>
      </c>
      <c r="D6" s="5" t="s">
        <v>4196</v>
      </c>
      <c r="E6" t="str">
        <f t="shared" si="0"/>
        <v>UPDATE [MAP].[T_TRANS_ITEM] SET NEW_ITEM_ID = 'ITM-003' WHERE LEGACY_ITEM_ID = '00123568' AND DATA_FOLDER_ID = 'sampl'</v>
      </c>
      <c r="F6" t="str">
        <f t="shared" si="1"/>
        <v>Changed</v>
      </c>
      <c r="G6" t="str">
        <f t="shared" si="2"/>
        <v>-</v>
      </c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E64F8-DA0C-4EAF-84D6-B1B62FB5329E}">
  <dimension ref="A1:H6"/>
  <sheetViews>
    <sheetView zoomScale="130" zoomScaleNormal="130" workbookViewId="0">
      <pane ySplit="3" topLeftCell="A4" activePane="bottomLeft" state="frozen"/>
      <selection pane="bottomLeft" activeCell="A4" sqref="A4"/>
    </sheetView>
  </sheetViews>
  <sheetFormatPr defaultRowHeight="15" x14ac:dyDescent="0.25"/>
  <cols>
    <col min="1" max="1" width="12.7109375" style="2" bestFit="1" customWidth="1"/>
    <col min="2" max="2" width="12.42578125" style="9" bestFit="1" customWidth="1"/>
    <col min="3" max="3" width="25.28515625" customWidth="1"/>
    <col min="4" max="4" width="24.85546875" style="5" bestFit="1" customWidth="1"/>
    <col min="5" max="5" width="17.7109375" style="5" customWidth="1"/>
    <col min="6" max="6" width="33.5703125" customWidth="1"/>
    <col min="7" max="7" width="8.28515625" bestFit="1" customWidth="1"/>
    <col min="8" max="8" width="10" customWidth="1"/>
  </cols>
  <sheetData>
    <row r="1" spans="1:8" x14ac:dyDescent="0.25">
      <c r="A1" s="20" t="str">
        <f>"Legacy ERP: "&amp;Controls!$B$2</f>
        <v>Legacy ERP: Sage 300 CRE</v>
      </c>
      <c r="B1" s="20"/>
      <c r="C1" s="20"/>
      <c r="D1" s="20" t="str">
        <f>"New ERP: "&amp;Controls!$B$3</f>
        <v>New ERP: Sage Intacct</v>
      </c>
      <c r="E1" s="20"/>
    </row>
    <row r="2" spans="1:8" ht="4.9000000000000004" customHeight="1" x14ac:dyDescent="0.25">
      <c r="D2" s="2"/>
      <c r="E2" s="2"/>
    </row>
    <row r="3" spans="1:8" x14ac:dyDescent="0.25">
      <c r="A3" s="8" t="s">
        <v>7</v>
      </c>
      <c r="B3" s="8" t="s">
        <v>4198</v>
      </c>
      <c r="C3" s="8" t="s">
        <v>4242</v>
      </c>
      <c r="D3" s="8" t="s">
        <v>4198</v>
      </c>
      <c r="E3" s="8" t="s">
        <v>4200</v>
      </c>
      <c r="F3" s="15" t="s">
        <v>4199</v>
      </c>
      <c r="G3" s="16" t="s">
        <v>12</v>
      </c>
      <c r="H3" s="16" t="s">
        <v>2</v>
      </c>
    </row>
    <row r="4" spans="1:8" x14ac:dyDescent="0.25">
      <c r="A4" s="2" t="s">
        <v>1</v>
      </c>
      <c r="B4" s="10" t="s">
        <v>4201</v>
      </c>
      <c r="C4" t="s">
        <v>4204</v>
      </c>
      <c r="D4" s="5">
        <v>123</v>
      </c>
      <c r="E4" s="5" t="s">
        <v>4207</v>
      </c>
      <c r="F4" t="str">
        <f>"UPDATE "&amp;$F$3&amp;" SET NEW_WAREHOUSE_ID = '"&amp;D4&amp;", NEW_LOCATION_ID = '"&amp;E4&amp;"' WHERE LEGACY_WAREHOUSE_ID = '"&amp;B4&amp;"' AND DATA_FOLDER_ID = '"&amp;$A4&amp;"'"</f>
        <v>UPDATE [MAP].[T_TRANS_WAREHOUSE] SET NEW_WAREHOUSE_ID = '123, NEW_LOCATION_ID = 'OH' WHERE LEGACY_WAREHOUSE_ID = 'OH123' AND DATA_FOLDER_ID = 'sampl'</v>
      </c>
      <c r="G4" t="str">
        <f>IF(B4&lt;&gt;D4,"Changed","-")</f>
        <v>Changed</v>
      </c>
      <c r="H4" t="str">
        <f>IF(B4="","Hide","-")</f>
        <v>-</v>
      </c>
    </row>
    <row r="5" spans="1:8" x14ac:dyDescent="0.25">
      <c r="A5" s="2" t="s">
        <v>1</v>
      </c>
      <c r="B5" s="10" t="s">
        <v>4202</v>
      </c>
      <c r="C5" t="s">
        <v>4205</v>
      </c>
      <c r="D5" s="5">
        <v>124</v>
      </c>
      <c r="E5" s="5" t="s">
        <v>4208</v>
      </c>
      <c r="F5" t="str">
        <f t="shared" ref="F5:F6" si="0">"UPDATE "&amp;$F$3&amp;" SET NEW_WAREHOUSE_ID = '"&amp;D5&amp;", NEW_LOCATION_ID = '"&amp;E5&amp;"' WHERE LEGACY_WAREHOUSE_ID = '"&amp;B5&amp;"' AND DATA_FOLDER_ID = '"&amp;$A5&amp;"'"</f>
        <v>UPDATE [MAP].[T_TRANS_WAREHOUSE] SET NEW_WAREHOUSE_ID = '124, NEW_LOCATION_ID = 'FL' WHERE LEGACY_WAREHOUSE_ID = 'FL124' AND DATA_FOLDER_ID = 'sampl'</v>
      </c>
      <c r="G5" t="str">
        <f t="shared" ref="G5:G6" si="1">IF(B5&lt;&gt;D5,"Changed","-")</f>
        <v>Changed</v>
      </c>
      <c r="H5" t="str">
        <f t="shared" ref="H5:H6" si="2">IF(B5="","Hide","-")</f>
        <v>-</v>
      </c>
    </row>
    <row r="6" spans="1:8" x14ac:dyDescent="0.25">
      <c r="A6" s="2" t="s">
        <v>1</v>
      </c>
      <c r="B6" s="9" t="s">
        <v>4203</v>
      </c>
      <c r="C6" t="s">
        <v>4206</v>
      </c>
      <c r="D6" s="5">
        <v>125</v>
      </c>
      <c r="E6" s="5" t="s">
        <v>4209</v>
      </c>
      <c r="F6" t="str">
        <f t="shared" si="0"/>
        <v>UPDATE [MAP].[T_TRANS_WAREHOUSE] SET NEW_WAREHOUSE_ID = '125, NEW_LOCATION_ID = 'IN' WHERE LEGACY_WAREHOUSE_ID = 'IN125' AND DATA_FOLDER_ID = 'sampl'</v>
      </c>
      <c r="G6" t="str">
        <f t="shared" si="1"/>
        <v>Changed</v>
      </c>
      <c r="H6" t="str">
        <f t="shared" si="2"/>
        <v>-</v>
      </c>
    </row>
  </sheetData>
  <mergeCells count="2">
    <mergeCell ref="D1:E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Controls</vt:lpstr>
      <vt:lpstr>Entity</vt:lpstr>
      <vt:lpstr>Job ID</vt:lpstr>
      <vt:lpstr>GL Account</vt:lpstr>
      <vt:lpstr>Location ID</vt:lpstr>
      <vt:lpstr>Department ID</vt:lpstr>
      <vt:lpstr>Class ID</vt:lpstr>
      <vt:lpstr>Vendor ID</vt:lpstr>
      <vt:lpstr>Customer ID</vt:lpstr>
      <vt:lpstr>Cost Code ID</vt:lpstr>
      <vt:lpstr>Cost Type ID</vt:lpstr>
      <vt:lpstr>Employee ID</vt:lpstr>
      <vt:lpstr>Inventory Item ID</vt:lpstr>
      <vt:lpstr>Warehouse 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Bromer</dc:creator>
  <cp:lastModifiedBy>Joshua Bromer</cp:lastModifiedBy>
  <dcterms:created xsi:type="dcterms:W3CDTF">2026-04-10T19:22:57Z</dcterms:created>
  <dcterms:modified xsi:type="dcterms:W3CDTF">2026-04-23T20:18:17Z</dcterms:modified>
</cp:coreProperties>
</file>